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https://dtudk-my.sharepoint.com/personal/siol_dtu_dk/Documents/Dokumenter/Teaching/Kvantitativ bæredygtighed/Test exam/"/>
    </mc:Choice>
  </mc:AlternateContent>
  <xr:revisionPtr revIDLastSave="0" documentId="8_{CABC2811-C5C6-48BA-935C-A663A4C721C8}" xr6:coauthVersionLast="47" xr6:coauthVersionMax="47" xr10:uidLastSave="{00000000-0000-0000-0000-000000000000}"/>
  <bookViews>
    <workbookView xWindow="-110" yWindow="-110" windowWidth="19420" windowHeight="11500" firstSheet="1" activeTab="1" xr2:uid="{00000000-000D-0000-FFFF-FFFF00000000}"/>
  </bookViews>
  <sheets>
    <sheet name="Gasoline and electric vehicles" sheetId="1" state="hidden" r:id="rId1"/>
    <sheet name="Life Cycle Costing petrol vs el" sheetId="7" r:id="rId2"/>
    <sheet name="Processes" sheetId="2" r:id="rId3"/>
    <sheet name="Midpoint results" sheetId="3" state="hidden" r:id="rId4"/>
    <sheet name="Input for Students" sheetId="5"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7" l="1"/>
  <c r="D16" i="7"/>
  <c r="D63" i="7"/>
  <c r="D60" i="7"/>
  <c r="D61" i="7"/>
  <c r="D58" i="7"/>
  <c r="G58" i="7"/>
  <c r="D57" i="7"/>
  <c r="G57" i="7"/>
  <c r="D56" i="7"/>
  <c r="G56" i="7"/>
  <c r="M7" i="7"/>
  <c r="B54" i="7"/>
  <c r="D54" i="7"/>
  <c r="G54" i="7"/>
  <c r="B53" i="7"/>
  <c r="D53" i="7"/>
  <c r="G53" i="7"/>
  <c r="M6" i="7"/>
  <c r="B40" i="7"/>
  <c r="D40" i="7"/>
  <c r="G40" i="7"/>
  <c r="L10" i="7" s="1"/>
  <c r="D33" i="7"/>
  <c r="D32" i="7"/>
  <c r="G32" i="7"/>
  <c r="B30" i="7"/>
  <c r="D30" i="7" s="1"/>
  <c r="G30" i="7" s="1"/>
  <c r="B29" i="7"/>
  <c r="D29" i="7" s="1"/>
  <c r="G29" i="7" s="1"/>
  <c r="B65" i="7"/>
  <c r="D65" i="7" s="1"/>
  <c r="G65" i="7" s="1"/>
  <c r="M10" i="7" s="1"/>
  <c r="G63" i="7"/>
  <c r="G61" i="7"/>
  <c r="G60" i="7"/>
  <c r="M8" i="7"/>
  <c r="D14" i="7"/>
  <c r="G14" i="7"/>
  <c r="D13" i="7"/>
  <c r="G13" i="7"/>
  <c r="D35" i="7"/>
  <c r="G35" i="7"/>
  <c r="D38" i="7"/>
  <c r="G38" i="7" s="1"/>
  <c r="D36" i="7"/>
  <c r="G36" i="7"/>
  <c r="B7" i="7"/>
  <c r="B18" i="7"/>
  <c r="B11" i="7"/>
  <c r="D11" i="7"/>
  <c r="B8" i="7"/>
  <c r="D8" i="7"/>
  <c r="G8" i="7"/>
  <c r="G16" i="7"/>
  <c r="K9" i="7"/>
  <c r="K8" i="7"/>
  <c r="L8" i="7"/>
  <c r="G33" i="7"/>
  <c r="D7" i="7"/>
  <c r="G7" i="7"/>
  <c r="K6" i="7"/>
  <c r="D18" i="7"/>
  <c r="G18" i="7"/>
  <c r="K10" i="7"/>
  <c r="D10" i="7"/>
  <c r="G10" i="7"/>
  <c r="G11" i="7"/>
  <c r="L7" i="7"/>
  <c r="K7" i="7"/>
  <c r="K11" i="7"/>
  <c r="G20" i="7"/>
  <c r="C26" i="1"/>
  <c r="L26" i="1"/>
  <c r="H26" i="1"/>
  <c r="E26" i="1"/>
  <c r="H11" i="7"/>
  <c r="H7" i="7"/>
  <c r="H14" i="7"/>
  <c r="H8" i="7"/>
  <c r="H13" i="7"/>
  <c r="H18" i="7"/>
  <c r="H10" i="7"/>
  <c r="H20" i="7"/>
  <c r="H16" i="7"/>
  <c r="F26" i="1"/>
  <c r="I26" i="1"/>
  <c r="K26" i="1"/>
  <c r="M26" i="1"/>
  <c r="H21" i="7"/>
  <c r="I52" i="2"/>
  <c r="L52" i="2"/>
  <c r="I12" i="5"/>
  <c r="I15" i="5"/>
  <c r="I16" i="5"/>
  <c r="I14" i="5"/>
  <c r="I51" i="2"/>
  <c r="L51" i="2"/>
  <c r="I6" i="5"/>
  <c r="I5" i="5"/>
  <c r="I11" i="5"/>
  <c r="I13" i="5"/>
  <c r="I10" i="5"/>
  <c r="I8" i="5"/>
  <c r="I7" i="2"/>
  <c r="L7" i="2"/>
  <c r="I7" i="5"/>
  <c r="I50" i="2"/>
  <c r="L25" i="1"/>
  <c r="H25" i="1"/>
  <c r="E25" i="1"/>
  <c r="C25" i="1"/>
  <c r="L50" i="2"/>
  <c r="B24" i="5"/>
  <c r="E62" i="5"/>
  <c r="E63" i="5"/>
  <c r="E61" i="5"/>
  <c r="L68" i="1"/>
  <c r="H68" i="1"/>
  <c r="E68" i="1"/>
  <c r="C68" i="1"/>
  <c r="L62" i="1"/>
  <c r="H62" i="1"/>
  <c r="E62" i="1"/>
  <c r="I9" i="5"/>
  <c r="E24" i="5"/>
  <c r="F25" i="1"/>
  <c r="I25" i="1"/>
  <c r="M25" i="1"/>
  <c r="M68" i="1"/>
  <c r="F68" i="1"/>
  <c r="I68" i="1"/>
  <c r="B29" i="5"/>
  <c r="I17" i="5"/>
  <c r="E33" i="5"/>
  <c r="E32" i="5"/>
  <c r="E31" i="5"/>
  <c r="D10" i="5"/>
  <c r="D30" i="5"/>
  <c r="D23" i="5"/>
  <c r="E8" i="5"/>
  <c r="E9" i="5"/>
  <c r="E10" i="5"/>
  <c r="E11" i="5"/>
  <c r="E12" i="5"/>
  <c r="E13" i="5"/>
  <c r="E14" i="5"/>
  <c r="E15" i="5"/>
  <c r="E16" i="5"/>
  <c r="E17" i="5"/>
  <c r="E18" i="5"/>
  <c r="E19" i="5"/>
  <c r="E20" i="5"/>
  <c r="E21" i="5"/>
  <c r="E22" i="5"/>
  <c r="E23" i="5"/>
  <c r="E25" i="5"/>
  <c r="E26" i="5"/>
  <c r="E27" i="5"/>
  <c r="E28" i="5"/>
  <c r="E6" i="5"/>
  <c r="E7" i="5"/>
  <c r="C83" i="1"/>
  <c r="C84" i="1"/>
  <c r="B83" i="1"/>
  <c r="C42" i="1"/>
  <c r="C35" i="1"/>
  <c r="C34" i="1"/>
  <c r="C33" i="1"/>
  <c r="C31" i="1"/>
  <c r="C30" i="1"/>
  <c r="C29" i="1"/>
  <c r="C28" i="1"/>
  <c r="C27" i="1"/>
  <c r="C24" i="1"/>
  <c r="C23" i="1"/>
  <c r="C22" i="1"/>
  <c r="C21" i="1"/>
  <c r="C20" i="1"/>
  <c r="C19" i="1"/>
  <c r="C18" i="1"/>
  <c r="C17" i="1"/>
  <c r="C16" i="1"/>
  <c r="C15" i="1"/>
  <c r="C14" i="1"/>
  <c r="C13" i="1"/>
  <c r="C12" i="1"/>
  <c r="C11" i="1"/>
  <c r="C10" i="1"/>
  <c r="C9" i="1"/>
  <c r="C8" i="1"/>
  <c r="B45" i="1"/>
  <c r="C45" i="1"/>
  <c r="E29" i="5"/>
  <c r="I30" i="5"/>
  <c r="K25" i="1"/>
  <c r="B30" i="5"/>
  <c r="K68" i="1"/>
  <c r="C7" i="1"/>
  <c r="B44" i="1"/>
  <c r="C44" i="1"/>
  <c r="B43" i="1"/>
  <c r="C43" i="1"/>
  <c r="B41" i="1"/>
  <c r="C41" i="1"/>
  <c r="B40" i="1"/>
  <c r="C40" i="1"/>
  <c r="C82" i="1"/>
  <c r="C81" i="1"/>
  <c r="C80" i="1"/>
  <c r="C79" i="1"/>
  <c r="C75" i="1"/>
  <c r="C76" i="1"/>
  <c r="C77" i="1"/>
  <c r="C74" i="1"/>
  <c r="C72" i="1"/>
  <c r="C71" i="1"/>
  <c r="C70" i="1"/>
  <c r="C55" i="1"/>
  <c r="C56" i="1"/>
  <c r="C57" i="1"/>
  <c r="C58" i="1"/>
  <c r="C59" i="1"/>
  <c r="C60" i="1"/>
  <c r="C61" i="1"/>
  <c r="C62" i="1"/>
  <c r="C63" i="1"/>
  <c r="C64" i="1"/>
  <c r="C65" i="1"/>
  <c r="C66" i="1"/>
  <c r="C67" i="1"/>
  <c r="C54" i="1"/>
  <c r="C38" i="1"/>
  <c r="C37" i="1"/>
  <c r="AE16" i="1"/>
  <c r="AG16" i="1"/>
  <c r="AM4" i="1"/>
  <c r="L77" i="1"/>
  <c r="M77" i="1"/>
  <c r="AM13" i="1"/>
  <c r="H77" i="1"/>
  <c r="I77" i="1"/>
  <c r="AB13" i="1"/>
  <c r="E77" i="1"/>
  <c r="F77" i="1"/>
  <c r="U13" i="1"/>
  <c r="K77"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I4" i="1"/>
  <c r="AK4" i="1"/>
  <c r="AG4" i="1"/>
  <c r="M78" i="1"/>
  <c r="M85" i="1"/>
  <c r="L82" i="1"/>
  <c r="L81" i="1"/>
  <c r="L80" i="1"/>
  <c r="L79" i="1"/>
  <c r="L76" i="1"/>
  <c r="M76" i="1"/>
  <c r="L75" i="1"/>
  <c r="M75" i="1"/>
  <c r="AI11" i="1"/>
  <c r="L74" i="1"/>
  <c r="M74" i="1"/>
  <c r="L72" i="1"/>
  <c r="L71" i="1"/>
  <c r="L70" i="1"/>
  <c r="L67" i="1"/>
  <c r="L66" i="1"/>
  <c r="L65" i="1"/>
  <c r="L64" i="1"/>
  <c r="L63" i="1"/>
  <c r="L61" i="1"/>
  <c r="L60" i="1"/>
  <c r="L59" i="1"/>
  <c r="L58" i="1"/>
  <c r="L57" i="1"/>
  <c r="L56" i="1"/>
  <c r="L55" i="1"/>
  <c r="L54" i="1"/>
  <c r="AG10" i="1"/>
  <c r="AK12" i="1"/>
  <c r="L43" i="1"/>
  <c r="L42" i="1"/>
  <c r="L41" i="1"/>
  <c r="L40" i="1"/>
  <c r="L38" i="1"/>
  <c r="M38" i="1"/>
  <c r="L37" i="1"/>
  <c r="M37" i="1"/>
  <c r="L35" i="1"/>
  <c r="L34" i="1"/>
  <c r="L33" i="1"/>
  <c r="L31" i="1"/>
  <c r="L30" i="1"/>
  <c r="L29" i="1"/>
  <c r="L28" i="1"/>
  <c r="L27" i="1"/>
  <c r="L24" i="1"/>
  <c r="L23" i="1"/>
  <c r="L22" i="1"/>
  <c r="L21" i="1"/>
  <c r="L20" i="1"/>
  <c r="L19" i="1"/>
  <c r="L18" i="1"/>
  <c r="L17" i="1"/>
  <c r="L16" i="1"/>
  <c r="L15" i="1"/>
  <c r="L14" i="1"/>
  <c r="L13" i="1"/>
  <c r="L12" i="1"/>
  <c r="L11" i="1"/>
  <c r="L10" i="1"/>
  <c r="L9" i="1"/>
  <c r="L8" i="1"/>
  <c r="L7" i="1"/>
  <c r="AE9" i="1"/>
  <c r="H38" i="1"/>
  <c r="I38" i="1"/>
  <c r="U17" i="1"/>
  <c r="F38" i="1"/>
  <c r="E12" i="1"/>
  <c r="H76" i="1"/>
  <c r="I76" i="1"/>
  <c r="H75" i="1"/>
  <c r="I75" i="1"/>
  <c r="H82" i="1"/>
  <c r="H81" i="1"/>
  <c r="H80" i="1"/>
  <c r="H79" i="1"/>
  <c r="H74" i="1"/>
  <c r="I74" i="1"/>
  <c r="H72" i="1"/>
  <c r="H71" i="1"/>
  <c r="H70" i="1"/>
  <c r="H67" i="1"/>
  <c r="H66" i="1"/>
  <c r="H65" i="1"/>
  <c r="H64" i="1"/>
  <c r="H63" i="1"/>
  <c r="H61" i="1"/>
  <c r="H60" i="1"/>
  <c r="H59" i="1"/>
  <c r="H58" i="1"/>
  <c r="H57" i="1"/>
  <c r="H56" i="1"/>
  <c r="H55" i="1"/>
  <c r="H54" i="1"/>
  <c r="Z11" i="1"/>
  <c r="AA12" i="1"/>
  <c r="R112" i="1"/>
  <c r="E76" i="1"/>
  <c r="F76" i="1"/>
  <c r="E75" i="1"/>
  <c r="F75" i="1"/>
  <c r="E74" i="1"/>
  <c r="F74" i="1"/>
  <c r="E72" i="1"/>
  <c r="E71" i="1"/>
  <c r="E70" i="1"/>
  <c r="E80" i="1"/>
  <c r="E81" i="1"/>
  <c r="E82" i="1"/>
  <c r="E79" i="1"/>
  <c r="E67" i="1"/>
  <c r="E66" i="1"/>
  <c r="E65" i="1"/>
  <c r="E64" i="1"/>
  <c r="E63" i="1"/>
  <c r="E61" i="1"/>
  <c r="E60" i="1"/>
  <c r="I27" i="2"/>
  <c r="E59" i="1"/>
  <c r="L27" i="2"/>
  <c r="E58" i="1"/>
  <c r="E57" i="1"/>
  <c r="E56" i="1"/>
  <c r="E55" i="1"/>
  <c r="E54" i="1"/>
  <c r="H41" i="1"/>
  <c r="H42" i="1"/>
  <c r="H43" i="1"/>
  <c r="H40" i="1"/>
  <c r="H37" i="1"/>
  <c r="I37" i="1"/>
  <c r="X9" i="1"/>
  <c r="H34" i="1"/>
  <c r="H35" i="1"/>
  <c r="H33" i="1"/>
  <c r="H31" i="1"/>
  <c r="H8" i="1"/>
  <c r="H9" i="1"/>
  <c r="H10" i="1"/>
  <c r="H11" i="1"/>
  <c r="H12" i="1"/>
  <c r="H13" i="1"/>
  <c r="H14" i="1"/>
  <c r="H15" i="1"/>
  <c r="H16" i="1"/>
  <c r="H17" i="1"/>
  <c r="H18" i="1"/>
  <c r="H19" i="1"/>
  <c r="H20" i="1"/>
  <c r="H21" i="1"/>
  <c r="H22" i="1"/>
  <c r="H23" i="1"/>
  <c r="H24" i="1"/>
  <c r="H27" i="1"/>
  <c r="H28" i="1"/>
  <c r="H29" i="1"/>
  <c r="H30" i="1"/>
  <c r="H7" i="1"/>
  <c r="E41" i="1"/>
  <c r="E42" i="1"/>
  <c r="E43" i="1"/>
  <c r="E40" i="1"/>
  <c r="E37" i="1"/>
  <c r="F37" i="1"/>
  <c r="E34" i="1"/>
  <c r="E35" i="1"/>
  <c r="E33" i="1"/>
  <c r="E31" i="1"/>
  <c r="E8" i="1"/>
  <c r="E9" i="1"/>
  <c r="E10" i="1"/>
  <c r="E11" i="1"/>
  <c r="E13" i="1"/>
  <c r="E14" i="1"/>
  <c r="E15" i="1"/>
  <c r="E16" i="1"/>
  <c r="E17" i="1"/>
  <c r="E18" i="1"/>
  <c r="E19" i="1"/>
  <c r="E20" i="1"/>
  <c r="E21" i="1"/>
  <c r="E22" i="1"/>
  <c r="E23" i="1"/>
  <c r="E24" i="1"/>
  <c r="E27" i="1"/>
  <c r="E28" i="1"/>
  <c r="E29" i="1"/>
  <c r="E30" i="1"/>
  <c r="E7" i="1"/>
  <c r="M31" i="1"/>
  <c r="M42" i="1"/>
  <c r="M61" i="1"/>
  <c r="I61" i="1"/>
  <c r="I72" i="1"/>
  <c r="M72" i="1"/>
  <c r="I54" i="1"/>
  <c r="M54" i="1"/>
  <c r="I63" i="1"/>
  <c r="M63" i="1"/>
  <c r="I55" i="1"/>
  <c r="M55" i="1"/>
  <c r="I56" i="1"/>
  <c r="M56" i="1"/>
  <c r="I64" i="1"/>
  <c r="M64" i="1"/>
  <c r="I57" i="1"/>
  <c r="M57" i="1"/>
  <c r="I65" i="1"/>
  <c r="M65" i="1"/>
  <c r="I60" i="1"/>
  <c r="M60" i="1"/>
  <c r="R10" i="1"/>
  <c r="I58" i="1"/>
  <c r="M58" i="1"/>
  <c r="I66" i="1"/>
  <c r="M66" i="1"/>
  <c r="M62" i="1"/>
  <c r="I70" i="1"/>
  <c r="M70" i="1"/>
  <c r="I59" i="1"/>
  <c r="M59" i="1"/>
  <c r="I67" i="1"/>
  <c r="M67" i="1"/>
  <c r="I71" i="1"/>
  <c r="M71" i="1"/>
  <c r="I62" i="1"/>
  <c r="F59" i="1"/>
  <c r="Q9" i="1"/>
  <c r="K38" i="1"/>
  <c r="F58" i="1"/>
  <c r="K75" i="1"/>
  <c r="S11" i="1"/>
  <c r="K76" i="1"/>
  <c r="T12" i="1"/>
  <c r="F65" i="1"/>
  <c r="F67" i="1"/>
  <c r="F54" i="1"/>
  <c r="F56" i="1"/>
  <c r="F57" i="1"/>
  <c r="F66" i="1"/>
  <c r="F55" i="1"/>
  <c r="F63" i="1"/>
  <c r="F72" i="1"/>
  <c r="F60" i="1"/>
  <c r="F62" i="1"/>
  <c r="F70" i="1"/>
  <c r="F64" i="1"/>
  <c r="F71" i="1"/>
  <c r="F61" i="1"/>
  <c r="K37" i="1"/>
  <c r="F42" i="1"/>
  <c r="AM7" i="1"/>
  <c r="AB7" i="1"/>
  <c r="AM6" i="1"/>
  <c r="AB6" i="1"/>
  <c r="U7" i="1"/>
  <c r="U6" i="1"/>
  <c r="AI6" i="1"/>
  <c r="AK6" i="1"/>
  <c r="AG6" i="1"/>
  <c r="K58" i="1"/>
  <c r="AK7" i="1"/>
  <c r="AI7" i="1"/>
  <c r="AG7" i="1"/>
  <c r="K63" i="1"/>
  <c r="I82" i="1"/>
  <c r="M82" i="1"/>
  <c r="I81" i="1"/>
  <c r="M81" i="1"/>
  <c r="I80" i="1"/>
  <c r="M80" i="1"/>
  <c r="K67" i="1"/>
  <c r="K55" i="1"/>
  <c r="K66" i="1"/>
  <c r="K64" i="1"/>
  <c r="K57" i="1"/>
  <c r="K56" i="1"/>
  <c r="I79" i="1"/>
  <c r="M79" i="1"/>
  <c r="F82" i="1"/>
  <c r="F79" i="1"/>
  <c r="Y6" i="1"/>
  <c r="AA6" i="1"/>
  <c r="Z6" i="1"/>
  <c r="Z7" i="1"/>
  <c r="AA7" i="1"/>
  <c r="Y7" i="1"/>
  <c r="T7" i="1"/>
  <c r="R7" i="1"/>
  <c r="S7" i="1"/>
  <c r="F80" i="1"/>
  <c r="F81" i="1"/>
  <c r="K62" i="1"/>
  <c r="K61" i="1"/>
  <c r="K65" i="1"/>
  <c r="K60" i="1"/>
  <c r="K72" i="1"/>
  <c r="K54" i="1"/>
  <c r="K71" i="1"/>
  <c r="K70" i="1"/>
  <c r="AU6" i="1"/>
  <c r="BB6" i="1"/>
  <c r="AM8" i="1"/>
  <c r="AM14" i="1"/>
  <c r="AB8" i="1"/>
  <c r="AB14" i="1"/>
  <c r="M87" i="1"/>
  <c r="F89" i="1"/>
  <c r="G77" i="1"/>
  <c r="U8" i="1"/>
  <c r="U14" i="1"/>
  <c r="I89" i="1"/>
  <c r="M88" i="1"/>
  <c r="M89" i="1"/>
  <c r="M86" i="1"/>
  <c r="N75" i="1"/>
  <c r="AI8" i="1"/>
  <c r="AI14" i="1"/>
  <c r="AS6" i="1"/>
  <c r="Y8" i="1"/>
  <c r="K81" i="1"/>
  <c r="K82" i="1"/>
  <c r="I87" i="1"/>
  <c r="J75" i="1"/>
  <c r="AG8" i="1"/>
  <c r="AG14" i="1"/>
  <c r="AR6" i="1"/>
  <c r="AA8" i="1"/>
  <c r="AA14" i="1"/>
  <c r="K80" i="1"/>
  <c r="Z8" i="1"/>
  <c r="Z14" i="1"/>
  <c r="I88" i="1"/>
  <c r="J76" i="1"/>
  <c r="AK8" i="1"/>
  <c r="AK14" i="1"/>
  <c r="AT6" i="1"/>
  <c r="F88" i="1"/>
  <c r="G76" i="1"/>
  <c r="F86" i="1"/>
  <c r="G80" i="1"/>
  <c r="F87" i="1"/>
  <c r="G75" i="1"/>
  <c r="T8" i="1"/>
  <c r="S8" i="1"/>
  <c r="K79" i="1"/>
  <c r="R8" i="1"/>
  <c r="AU31" i="1"/>
  <c r="BB31" i="1"/>
  <c r="AU19" i="1"/>
  <c r="BB19" i="1"/>
  <c r="AU39" i="1"/>
  <c r="BB39" i="1"/>
  <c r="AU32" i="1"/>
  <c r="BB32" i="1"/>
  <c r="AU46" i="1"/>
  <c r="BB46" i="1"/>
  <c r="AU7" i="1"/>
  <c r="BB7" i="1"/>
  <c r="AU38" i="1"/>
  <c r="BB38" i="1"/>
  <c r="AU30" i="1"/>
  <c r="BB30" i="1"/>
  <c r="AU29" i="1"/>
  <c r="BB29" i="1"/>
  <c r="AU14" i="1"/>
  <c r="BB14" i="1"/>
  <c r="AU37" i="1"/>
  <c r="BB37" i="1"/>
  <c r="AU36" i="1"/>
  <c r="BB36" i="1"/>
  <c r="AU21" i="1"/>
  <c r="BB21" i="1"/>
  <c r="AU11" i="1"/>
  <c r="BB11" i="1"/>
  <c r="AU23" i="1"/>
  <c r="BB23" i="1"/>
  <c r="AU13" i="1"/>
  <c r="BB13" i="1"/>
  <c r="AU20" i="1"/>
  <c r="BB20" i="1"/>
  <c r="AU25" i="1"/>
  <c r="BB25" i="1"/>
  <c r="AU35" i="1"/>
  <c r="BB35" i="1"/>
  <c r="AU42" i="1"/>
  <c r="BB42" i="1"/>
  <c r="AU17" i="1"/>
  <c r="BB17" i="1"/>
  <c r="AU27" i="1"/>
  <c r="BB27" i="1"/>
  <c r="AU34" i="1"/>
  <c r="BB34" i="1"/>
  <c r="AU9" i="1"/>
  <c r="BB9" i="1"/>
  <c r="AU40" i="1"/>
  <c r="BB40" i="1"/>
  <c r="AU44" i="1"/>
  <c r="BB44" i="1"/>
  <c r="AU15" i="1"/>
  <c r="BB15" i="1"/>
  <c r="AU26" i="1"/>
  <c r="BB26" i="1"/>
  <c r="AU28" i="1"/>
  <c r="BB28" i="1"/>
  <c r="AU24" i="1"/>
  <c r="BB24" i="1"/>
  <c r="AU12" i="1"/>
  <c r="BB12" i="1"/>
  <c r="AU22" i="1"/>
  <c r="BB22" i="1"/>
  <c r="AU18" i="1"/>
  <c r="BB18" i="1"/>
  <c r="AU41" i="1"/>
  <c r="BB41" i="1"/>
  <c r="AU16" i="1"/>
  <c r="BB16" i="1"/>
  <c r="AU43" i="1"/>
  <c r="BB43" i="1"/>
  <c r="AU45" i="1"/>
  <c r="BB45" i="1"/>
  <c r="AU10" i="1"/>
  <c r="BB10" i="1"/>
  <c r="AU33" i="1"/>
  <c r="BB33" i="1"/>
  <c r="AU8" i="1"/>
  <c r="BB8" i="1"/>
  <c r="G89" i="1"/>
  <c r="K89" i="1"/>
  <c r="J77" i="1"/>
  <c r="N72" i="1"/>
  <c r="N54" i="1"/>
  <c r="N63" i="1"/>
  <c r="N61" i="1"/>
  <c r="N89" i="1"/>
  <c r="N70" i="1"/>
  <c r="N55" i="1"/>
  <c r="N79" i="1"/>
  <c r="N81" i="1"/>
  <c r="N67" i="1"/>
  <c r="N74" i="1"/>
  <c r="N60" i="1"/>
  <c r="N76" i="1"/>
  <c r="N80" i="1"/>
  <c r="N56" i="1"/>
  <c r="N65" i="1"/>
  <c r="N77" i="1"/>
  <c r="N71" i="1"/>
  <c r="N59" i="1"/>
  <c r="N64" i="1"/>
  <c r="N82" i="1"/>
  <c r="N66" i="1"/>
  <c r="N87" i="1"/>
  <c r="N58" i="1"/>
  <c r="N62" i="1"/>
  <c r="N88" i="1"/>
  <c r="N57" i="1"/>
  <c r="G79" i="1"/>
  <c r="G82" i="1"/>
  <c r="G74" i="1"/>
  <c r="G54" i="1"/>
  <c r="G61" i="1"/>
  <c r="G56" i="1"/>
  <c r="G71" i="1"/>
  <c r="G63" i="1"/>
  <c r="G72" i="1"/>
  <c r="G60" i="1"/>
  <c r="G62" i="1"/>
  <c r="G59" i="1"/>
  <c r="G58" i="1"/>
  <c r="G55" i="1"/>
  <c r="G64" i="1"/>
  <c r="G57" i="1"/>
  <c r="G67" i="1"/>
  <c r="G70" i="1"/>
  <c r="G66" i="1"/>
  <c r="G65" i="1"/>
  <c r="G81" i="1"/>
  <c r="BA6" i="1"/>
  <c r="AT10" i="1"/>
  <c r="BA10" i="1"/>
  <c r="AT18" i="1"/>
  <c r="BA18" i="1"/>
  <c r="AT26" i="1"/>
  <c r="BA26" i="1"/>
  <c r="AT34" i="1"/>
  <c r="BA34" i="1"/>
  <c r="AT42" i="1"/>
  <c r="BA42" i="1"/>
  <c r="AT28" i="1"/>
  <c r="BA28" i="1"/>
  <c r="AT13" i="1"/>
  <c r="BA13" i="1"/>
  <c r="AT21" i="1"/>
  <c r="BA21" i="1"/>
  <c r="AT29" i="1"/>
  <c r="BA29" i="1"/>
  <c r="AT37" i="1"/>
  <c r="BA37" i="1"/>
  <c r="AT45" i="1"/>
  <c r="BA45" i="1"/>
  <c r="AT44" i="1"/>
  <c r="BA44" i="1"/>
  <c r="AT8" i="1"/>
  <c r="BA8" i="1"/>
  <c r="AT16" i="1"/>
  <c r="BA16" i="1"/>
  <c r="AT24" i="1"/>
  <c r="BA24" i="1"/>
  <c r="AT32" i="1"/>
  <c r="BA32" i="1"/>
  <c r="AT40" i="1"/>
  <c r="BA40" i="1"/>
  <c r="AT11" i="1"/>
  <c r="BA11" i="1"/>
  <c r="AT19" i="1"/>
  <c r="BA19" i="1"/>
  <c r="AT27" i="1"/>
  <c r="BA27" i="1"/>
  <c r="AT35" i="1"/>
  <c r="BA35" i="1"/>
  <c r="AT43" i="1"/>
  <c r="BA43" i="1"/>
  <c r="AT12" i="1"/>
  <c r="BA12" i="1"/>
  <c r="AT36" i="1"/>
  <c r="BA36" i="1"/>
  <c r="AT14" i="1"/>
  <c r="BA14" i="1"/>
  <c r="AT22" i="1"/>
  <c r="BA22" i="1"/>
  <c r="AT30" i="1"/>
  <c r="BA30" i="1"/>
  <c r="AT38" i="1"/>
  <c r="BA38" i="1"/>
  <c r="AT46" i="1"/>
  <c r="BA46" i="1"/>
  <c r="AT9" i="1"/>
  <c r="BA9" i="1"/>
  <c r="AT17" i="1"/>
  <c r="BA17" i="1"/>
  <c r="AT25" i="1"/>
  <c r="BA25" i="1"/>
  <c r="AT33" i="1"/>
  <c r="BA33" i="1"/>
  <c r="AT41" i="1"/>
  <c r="BA41" i="1"/>
  <c r="AT7" i="1"/>
  <c r="BA7" i="1"/>
  <c r="AT20" i="1"/>
  <c r="BA20" i="1"/>
  <c r="AT15" i="1"/>
  <c r="BA15" i="1"/>
  <c r="AT23" i="1"/>
  <c r="BA23" i="1"/>
  <c r="AT31" i="1"/>
  <c r="BA31" i="1"/>
  <c r="AT39" i="1"/>
  <c r="BA39" i="1"/>
  <c r="AY6" i="1"/>
  <c r="AR8" i="1"/>
  <c r="AY8" i="1"/>
  <c r="AR16" i="1"/>
  <c r="AY16" i="1"/>
  <c r="AR24" i="1"/>
  <c r="AY24" i="1"/>
  <c r="AR32" i="1"/>
  <c r="AY32" i="1"/>
  <c r="AR40" i="1"/>
  <c r="AY40" i="1"/>
  <c r="AR11" i="1"/>
  <c r="AY11" i="1"/>
  <c r="AR19" i="1"/>
  <c r="AY19" i="1"/>
  <c r="AR27" i="1"/>
  <c r="AY27" i="1"/>
  <c r="AR35" i="1"/>
  <c r="AY35" i="1"/>
  <c r="AR43" i="1"/>
  <c r="AY43" i="1"/>
  <c r="AR10" i="1"/>
  <c r="AY10" i="1"/>
  <c r="AR26" i="1"/>
  <c r="AY26" i="1"/>
  <c r="AR14" i="1"/>
  <c r="AY14" i="1"/>
  <c r="AR22" i="1"/>
  <c r="AY22" i="1"/>
  <c r="AR30" i="1"/>
  <c r="AY30" i="1"/>
  <c r="AR38" i="1"/>
  <c r="AY38" i="1"/>
  <c r="AR46" i="1"/>
  <c r="AY46" i="1"/>
  <c r="AR18" i="1"/>
  <c r="AY18" i="1"/>
  <c r="AR9" i="1"/>
  <c r="AY9" i="1"/>
  <c r="AR17" i="1"/>
  <c r="AY17" i="1"/>
  <c r="AR25" i="1"/>
  <c r="AY25" i="1"/>
  <c r="AR33" i="1"/>
  <c r="AY33" i="1"/>
  <c r="AR41" i="1"/>
  <c r="AY41" i="1"/>
  <c r="AR42" i="1"/>
  <c r="AY42" i="1"/>
  <c r="AR12" i="1"/>
  <c r="AY12" i="1"/>
  <c r="AR20" i="1"/>
  <c r="AY20" i="1"/>
  <c r="AR28" i="1"/>
  <c r="AY28" i="1"/>
  <c r="AR36" i="1"/>
  <c r="AY36" i="1"/>
  <c r="AR44" i="1"/>
  <c r="AY44" i="1"/>
  <c r="AR15" i="1"/>
  <c r="AY15" i="1"/>
  <c r="AR23" i="1"/>
  <c r="AY23" i="1"/>
  <c r="AR31" i="1"/>
  <c r="AY31" i="1"/>
  <c r="AR39" i="1"/>
  <c r="AY39" i="1"/>
  <c r="AR13" i="1"/>
  <c r="AY13" i="1"/>
  <c r="AR21" i="1"/>
  <c r="AY21" i="1"/>
  <c r="AR29" i="1"/>
  <c r="AY29" i="1"/>
  <c r="AR37" i="1"/>
  <c r="AY37" i="1"/>
  <c r="AR45" i="1"/>
  <c r="AY45" i="1"/>
  <c r="AR7" i="1"/>
  <c r="AY7" i="1"/>
  <c r="AR34" i="1"/>
  <c r="AY34" i="1"/>
  <c r="AZ6" i="1"/>
  <c r="AS13" i="1"/>
  <c r="AZ13" i="1"/>
  <c r="AS21" i="1"/>
  <c r="AZ21" i="1"/>
  <c r="AS29" i="1"/>
  <c r="AZ29" i="1"/>
  <c r="AS37" i="1"/>
  <c r="AZ37" i="1"/>
  <c r="AS45" i="1"/>
  <c r="AZ45" i="1"/>
  <c r="AS8" i="1"/>
  <c r="AZ8" i="1"/>
  <c r="AS16" i="1"/>
  <c r="AZ16" i="1"/>
  <c r="AS24" i="1"/>
  <c r="AZ24" i="1"/>
  <c r="AS32" i="1"/>
  <c r="AZ32" i="1"/>
  <c r="AS40" i="1"/>
  <c r="AZ40" i="1"/>
  <c r="AS31" i="1"/>
  <c r="AZ31" i="1"/>
  <c r="AS39" i="1"/>
  <c r="AZ39" i="1"/>
  <c r="AS11" i="1"/>
  <c r="AZ11" i="1"/>
  <c r="AS19" i="1"/>
  <c r="AZ19" i="1"/>
  <c r="AS27" i="1"/>
  <c r="AZ27" i="1"/>
  <c r="AS35" i="1"/>
  <c r="AZ35" i="1"/>
  <c r="AS43" i="1"/>
  <c r="AZ43" i="1"/>
  <c r="AS14" i="1"/>
  <c r="AZ14" i="1"/>
  <c r="AS22" i="1"/>
  <c r="AZ22" i="1"/>
  <c r="AS30" i="1"/>
  <c r="AZ30" i="1"/>
  <c r="AS38" i="1"/>
  <c r="AZ38" i="1"/>
  <c r="AS46" i="1"/>
  <c r="AZ46" i="1"/>
  <c r="AS23" i="1"/>
  <c r="AZ23" i="1"/>
  <c r="AS9" i="1"/>
  <c r="AZ9" i="1"/>
  <c r="AS17" i="1"/>
  <c r="AZ17" i="1"/>
  <c r="AS25" i="1"/>
  <c r="AZ25" i="1"/>
  <c r="AS33" i="1"/>
  <c r="AZ33" i="1"/>
  <c r="AS41" i="1"/>
  <c r="AZ41" i="1"/>
  <c r="AS15" i="1"/>
  <c r="AZ15" i="1"/>
  <c r="AS7" i="1"/>
  <c r="AZ7" i="1"/>
  <c r="AS12" i="1"/>
  <c r="AZ12" i="1"/>
  <c r="AS20" i="1"/>
  <c r="AZ20" i="1"/>
  <c r="AS28" i="1"/>
  <c r="AZ28" i="1"/>
  <c r="AS36" i="1"/>
  <c r="AZ36" i="1"/>
  <c r="AS44" i="1"/>
  <c r="AZ44" i="1"/>
  <c r="AS10" i="1"/>
  <c r="AZ10" i="1"/>
  <c r="AS18" i="1"/>
  <c r="AZ18" i="1"/>
  <c r="AS26" i="1"/>
  <c r="AZ26" i="1"/>
  <c r="AS34" i="1"/>
  <c r="AZ34" i="1"/>
  <c r="AS42" i="1"/>
  <c r="AZ42" i="1"/>
  <c r="M33" i="1"/>
  <c r="M34" i="1"/>
  <c r="F35" i="1"/>
  <c r="M35" i="1"/>
  <c r="I34" i="1"/>
  <c r="F34" i="1"/>
  <c r="AE7" i="1"/>
  <c r="M21" i="1"/>
  <c r="M8" i="1"/>
  <c r="M16" i="1"/>
  <c r="M9" i="1"/>
  <c r="M17" i="1"/>
  <c r="M27" i="1"/>
  <c r="M13" i="1"/>
  <c r="M15" i="1"/>
  <c r="M28" i="1"/>
  <c r="M29" i="1"/>
  <c r="M22" i="1"/>
  <c r="M23" i="1"/>
  <c r="M24" i="1"/>
  <c r="M10" i="1"/>
  <c r="M18" i="1"/>
  <c r="F18" i="1"/>
  <c r="M11" i="1"/>
  <c r="M19" i="1"/>
  <c r="M12" i="1"/>
  <c r="M20" i="1"/>
  <c r="M30" i="1"/>
  <c r="M14" i="1"/>
  <c r="K34" i="1"/>
  <c r="I9" i="1"/>
  <c r="I8" i="1"/>
  <c r="I10" i="1"/>
  <c r="I11" i="1"/>
  <c r="I12" i="1"/>
  <c r="I13" i="1"/>
  <c r="I14" i="1"/>
  <c r="I15" i="1"/>
  <c r="I16" i="1"/>
  <c r="I17" i="1"/>
  <c r="I18" i="1"/>
  <c r="I19" i="1"/>
  <c r="I20" i="1"/>
  <c r="I21" i="1"/>
  <c r="I22" i="1"/>
  <c r="I23" i="1"/>
  <c r="I24" i="1"/>
  <c r="I27" i="1"/>
  <c r="I28" i="1"/>
  <c r="I29" i="1"/>
  <c r="I30" i="1"/>
  <c r="I31" i="1"/>
  <c r="F8" i="1"/>
  <c r="F9" i="1"/>
  <c r="F10" i="1"/>
  <c r="F11" i="1"/>
  <c r="F12" i="1"/>
  <c r="F13" i="1"/>
  <c r="F14" i="1"/>
  <c r="F15" i="1"/>
  <c r="F16" i="1"/>
  <c r="F17" i="1"/>
  <c r="F19" i="1"/>
  <c r="F20" i="1"/>
  <c r="F21" i="1"/>
  <c r="F22" i="1"/>
  <c r="F23" i="1"/>
  <c r="F24" i="1"/>
  <c r="F27" i="1"/>
  <c r="F28" i="1"/>
  <c r="F29" i="1"/>
  <c r="F30" i="1"/>
  <c r="F31" i="1"/>
  <c r="M41" i="1"/>
  <c r="I41" i="1"/>
  <c r="F41" i="1"/>
  <c r="F43" i="1"/>
  <c r="M43" i="1"/>
  <c r="K23" i="1"/>
  <c r="K22" i="1"/>
  <c r="K19" i="1"/>
  <c r="K17" i="1"/>
  <c r="K13" i="1"/>
  <c r="K20" i="1"/>
  <c r="K12" i="1"/>
  <c r="K9" i="1"/>
  <c r="K21" i="1"/>
  <c r="K18" i="1"/>
  <c r="K15" i="1"/>
  <c r="K31" i="1"/>
  <c r="K30" i="1"/>
  <c r="K29" i="1"/>
  <c r="K11" i="1"/>
  <c r="K10" i="1"/>
  <c r="K24" i="1"/>
  <c r="K16" i="1"/>
  <c r="K14" i="1"/>
  <c r="K28" i="1"/>
  <c r="K27" i="1"/>
  <c r="K8" i="1"/>
  <c r="R103" i="1"/>
  <c r="L48" i="2"/>
  <c r="L47" i="2"/>
  <c r="L46" i="2"/>
  <c r="L45" i="2"/>
  <c r="L44" i="2"/>
  <c r="L43" i="2"/>
  <c r="L42" i="2"/>
  <c r="L41" i="2"/>
  <c r="L40" i="2"/>
  <c r="L39" i="2"/>
  <c r="L38" i="2"/>
  <c r="L37" i="2"/>
  <c r="L36" i="2"/>
  <c r="L35" i="2"/>
  <c r="L34" i="2"/>
  <c r="L33" i="2"/>
  <c r="L32" i="2"/>
  <c r="L31" i="2"/>
  <c r="L30" i="2"/>
  <c r="L29" i="2"/>
  <c r="L28" i="2"/>
  <c r="L26" i="2"/>
  <c r="L25" i="2"/>
  <c r="L24" i="2"/>
  <c r="L23" i="2"/>
  <c r="L22" i="2"/>
  <c r="L21" i="2"/>
  <c r="L20" i="2"/>
  <c r="L19" i="2"/>
  <c r="L18" i="2"/>
  <c r="L17" i="2"/>
  <c r="L16" i="2"/>
  <c r="L15" i="2"/>
  <c r="L14" i="2"/>
  <c r="L13" i="2"/>
  <c r="L12" i="2"/>
  <c r="L11" i="2"/>
  <c r="L10" i="2"/>
  <c r="L9" i="2"/>
  <c r="L8" i="2"/>
  <c r="L6" i="2"/>
  <c r="L5" i="2"/>
  <c r="I48" i="2"/>
  <c r="I47" i="2"/>
  <c r="I46" i="2"/>
  <c r="I45" i="2"/>
  <c r="I44" i="2"/>
  <c r="I43" i="2"/>
  <c r="I42" i="2"/>
  <c r="I41" i="2"/>
  <c r="I40" i="2"/>
  <c r="I39" i="2"/>
  <c r="I38" i="2"/>
  <c r="I37" i="2"/>
  <c r="I36" i="2"/>
  <c r="I35" i="2"/>
  <c r="I34" i="2"/>
  <c r="I33" i="2"/>
  <c r="I32" i="2"/>
  <c r="I31" i="2"/>
  <c r="I30" i="2"/>
  <c r="I29" i="2"/>
  <c r="I28" i="2"/>
  <c r="I26" i="2"/>
  <c r="I25" i="2"/>
  <c r="I24" i="2"/>
  <c r="I23" i="2"/>
  <c r="I22" i="2"/>
  <c r="I21" i="2"/>
  <c r="I20" i="2"/>
  <c r="I19" i="2"/>
  <c r="I18" i="2"/>
  <c r="I17" i="2"/>
  <c r="I16" i="2"/>
  <c r="I15" i="2"/>
  <c r="I14" i="2"/>
  <c r="I13" i="2"/>
  <c r="I12" i="2"/>
  <c r="I11" i="2"/>
  <c r="I10" i="2"/>
  <c r="I9" i="2"/>
  <c r="I8" i="2"/>
  <c r="I6" i="2"/>
  <c r="I5" i="2"/>
  <c r="L4" i="2"/>
  <c r="I4" i="2"/>
  <c r="K41" i="1"/>
  <c r="R130" i="1"/>
  <c r="R128" i="1"/>
  <c r="R126" i="1"/>
  <c r="R122" i="1"/>
  <c r="R121" i="1"/>
  <c r="R114" i="1"/>
  <c r="R113" i="1"/>
  <c r="R108" i="1"/>
  <c r="R107" i="1"/>
  <c r="R102" i="1"/>
  <c r="I86" i="1"/>
  <c r="J89" i="1"/>
  <c r="I35" i="1"/>
  <c r="I43" i="1"/>
  <c r="K43" i="1"/>
  <c r="I42" i="1"/>
  <c r="I33" i="1"/>
  <c r="J61" i="1"/>
  <c r="J58" i="1"/>
  <c r="J62" i="1"/>
  <c r="J70" i="1"/>
  <c r="J56" i="1"/>
  <c r="J59" i="1"/>
  <c r="J55" i="1"/>
  <c r="J60" i="1"/>
  <c r="J67" i="1"/>
  <c r="J72" i="1"/>
  <c r="J63" i="1"/>
  <c r="J71" i="1"/>
  <c r="J57" i="1"/>
  <c r="J66" i="1"/>
  <c r="J64" i="1"/>
  <c r="J65" i="1"/>
  <c r="J82" i="1"/>
  <c r="J81" i="1"/>
  <c r="J80" i="1"/>
  <c r="J79" i="1"/>
  <c r="X7" i="1"/>
  <c r="J88" i="1"/>
  <c r="J87" i="1"/>
  <c r="Y10" i="1"/>
  <c r="Y14" i="1"/>
  <c r="K42" i="1"/>
  <c r="K35" i="1"/>
  <c r="F33" i="1"/>
  <c r="Q7" i="1"/>
  <c r="K74" i="1"/>
  <c r="J86" i="1"/>
  <c r="J74" i="1"/>
  <c r="K33" i="1"/>
  <c r="K87" i="1"/>
  <c r="K59" i="1"/>
  <c r="S6" i="1"/>
  <c r="S14" i="1"/>
  <c r="K88" i="1"/>
  <c r="R6" i="1"/>
  <c r="R14" i="1"/>
  <c r="T6" i="1"/>
  <c r="T14" i="1"/>
  <c r="G88" i="1"/>
  <c r="G86" i="1"/>
  <c r="K86" i="1"/>
  <c r="G87" i="1"/>
  <c r="F7" i="1"/>
  <c r="I7" i="1"/>
  <c r="X6" i="1"/>
  <c r="M7" i="1"/>
  <c r="AE6" i="1"/>
  <c r="AQ6" i="1"/>
  <c r="AQ11" i="1"/>
  <c r="AX11" i="1"/>
  <c r="Q6" i="1"/>
  <c r="AQ23" i="1"/>
  <c r="AX23" i="1"/>
  <c r="AQ14" i="1"/>
  <c r="AX14" i="1"/>
  <c r="AQ29" i="1"/>
  <c r="AX29" i="1"/>
  <c r="AQ22" i="1"/>
  <c r="AX22" i="1"/>
  <c r="AQ13" i="1"/>
  <c r="AX13" i="1"/>
  <c r="AQ34" i="1"/>
  <c r="AX34" i="1"/>
  <c r="AQ25" i="1"/>
  <c r="AX25" i="1"/>
  <c r="AQ21" i="1"/>
  <c r="AX21" i="1"/>
  <c r="AQ10" i="1"/>
  <c r="AX10" i="1"/>
  <c r="AQ9" i="1"/>
  <c r="AX9" i="1"/>
  <c r="AQ38" i="1"/>
  <c r="AX38" i="1"/>
  <c r="AQ33" i="1"/>
  <c r="AX33" i="1"/>
  <c r="AQ46" i="1"/>
  <c r="AX46" i="1"/>
  <c r="AQ31" i="1"/>
  <c r="AX31" i="1"/>
  <c r="AQ35" i="1"/>
  <c r="AX35" i="1"/>
  <c r="AQ18" i="1"/>
  <c r="AX18" i="1"/>
  <c r="AQ27" i="1"/>
  <c r="AX27" i="1"/>
  <c r="AQ37" i="1"/>
  <c r="AX37" i="1"/>
  <c r="AX6" i="1"/>
  <c r="AQ16" i="1"/>
  <c r="AX16" i="1"/>
  <c r="AQ42" i="1"/>
  <c r="AX42" i="1"/>
  <c r="AQ32" i="1"/>
  <c r="AX32" i="1"/>
  <c r="AQ24" i="1"/>
  <c r="AX24" i="1"/>
  <c r="AQ20" i="1"/>
  <c r="AX20" i="1"/>
  <c r="AQ12" i="1"/>
  <c r="AX12" i="1"/>
  <c r="AQ36" i="1"/>
  <c r="AX36" i="1"/>
  <c r="AQ28" i="1"/>
  <c r="AX28" i="1"/>
  <c r="AQ7" i="1"/>
  <c r="AX7" i="1"/>
  <c r="K7" i="1"/>
  <c r="AQ15" i="1"/>
  <c r="AX15" i="1"/>
  <c r="AQ45" i="1"/>
  <c r="AX45" i="1"/>
  <c r="AQ44" i="1"/>
  <c r="AX44" i="1"/>
  <c r="AQ19" i="1"/>
  <c r="AX19" i="1"/>
  <c r="AQ40" i="1"/>
  <c r="AX40" i="1"/>
  <c r="AQ8" i="1"/>
  <c r="AX8" i="1"/>
  <c r="AQ43" i="1"/>
  <c r="AX43" i="1"/>
  <c r="AQ26" i="1"/>
  <c r="AX26" i="1"/>
  <c r="AQ17" i="1"/>
  <c r="AX17" i="1"/>
  <c r="AQ30" i="1"/>
  <c r="AX30" i="1"/>
  <c r="AQ39" i="1"/>
  <c r="AX39" i="1"/>
  <c r="AQ41" i="1"/>
  <c r="AX41" i="1"/>
  <c r="M40" i="1"/>
  <c r="I40" i="1"/>
  <c r="F40" i="1"/>
  <c r="M47" i="1"/>
  <c r="AE8" i="1"/>
  <c r="AE14" i="1"/>
  <c r="Q8" i="1"/>
  <c r="Q14" i="1"/>
  <c r="F47" i="1"/>
  <c r="G26" i="1"/>
  <c r="K40" i="1"/>
  <c r="X8" i="1"/>
  <c r="X14" i="1"/>
  <c r="I47" i="1"/>
  <c r="J25" i="1"/>
  <c r="J26" i="1"/>
  <c r="N25" i="1"/>
  <c r="N26" i="1"/>
  <c r="G68" i="1"/>
  <c r="G25" i="1"/>
  <c r="J40" i="1"/>
  <c r="J68" i="1"/>
  <c r="N40" i="1"/>
  <c r="N68" i="1"/>
  <c r="J43" i="1"/>
  <c r="J38" i="1"/>
  <c r="J28" i="1"/>
  <c r="J8" i="1"/>
  <c r="J41" i="1"/>
  <c r="J31" i="1"/>
  <c r="J54" i="1"/>
  <c r="J24" i="1"/>
  <c r="J27" i="1"/>
  <c r="J42" i="1"/>
  <c r="J19" i="1"/>
  <c r="J11" i="1"/>
  <c r="J30" i="1"/>
  <c r="J18" i="1"/>
  <c r="J7" i="1"/>
  <c r="J15" i="1"/>
  <c r="J9" i="1"/>
  <c r="J29" i="1"/>
  <c r="J12" i="1"/>
  <c r="J17" i="1"/>
  <c r="J22" i="1"/>
  <c r="J37" i="1"/>
  <c r="J10" i="1"/>
  <c r="J47" i="1"/>
  <c r="J34" i="1"/>
  <c r="J16" i="1"/>
  <c r="J21" i="1"/>
  <c r="J13" i="1"/>
  <c r="J23" i="1"/>
  <c r="J14" i="1"/>
  <c r="K47" i="1"/>
  <c r="J20" i="1"/>
  <c r="J33" i="1"/>
  <c r="J35" i="1"/>
  <c r="N34" i="1"/>
  <c r="N18" i="1"/>
  <c r="N86" i="1"/>
  <c r="N47" i="1"/>
  <c r="N22" i="1"/>
  <c r="N19" i="1"/>
  <c r="N27" i="1"/>
  <c r="N23" i="1"/>
  <c r="N9" i="1"/>
  <c r="N37" i="1"/>
  <c r="N85" i="1"/>
  <c r="N7" i="1"/>
  <c r="N20" i="1"/>
  <c r="N29" i="1"/>
  <c r="N16" i="1"/>
  <c r="N43" i="1"/>
  <c r="N21" i="1"/>
  <c r="N30" i="1"/>
  <c r="N11" i="1"/>
  <c r="N17" i="1"/>
  <c r="N15" i="1"/>
  <c r="N13" i="1"/>
  <c r="N33" i="1"/>
  <c r="N41" i="1"/>
  <c r="N28" i="1"/>
  <c r="N8" i="1"/>
  <c r="N10" i="1"/>
  <c r="N24" i="1"/>
  <c r="N14" i="1"/>
  <c r="N12" i="1"/>
  <c r="M48" i="1"/>
  <c r="N42" i="1"/>
  <c r="N38" i="1"/>
  <c r="N31" i="1"/>
  <c r="N35" i="1"/>
  <c r="G17" i="1"/>
  <c r="G16" i="1"/>
  <c r="G27" i="1"/>
  <c r="G23" i="1"/>
  <c r="G15" i="1"/>
  <c r="G34" i="1"/>
  <c r="G28" i="1"/>
  <c r="G13" i="1"/>
  <c r="G33" i="1"/>
  <c r="G30" i="1"/>
  <c r="G12" i="1"/>
  <c r="G14" i="1"/>
  <c r="G11" i="1"/>
  <c r="G31" i="1"/>
  <c r="G10" i="1"/>
  <c r="G22" i="1"/>
  <c r="G18" i="1"/>
  <c r="G37" i="1"/>
  <c r="G41" i="1"/>
  <c r="G35" i="1"/>
  <c r="G24" i="1"/>
  <c r="G38" i="1"/>
  <c r="G42" i="1"/>
  <c r="G9" i="1"/>
  <c r="G8" i="1"/>
  <c r="G21" i="1"/>
  <c r="G19" i="1"/>
  <c r="G47" i="1"/>
  <c r="G20" i="1"/>
  <c r="G43" i="1"/>
  <c r="G29" i="1"/>
  <c r="G7" i="1"/>
  <c r="G40" i="1"/>
  <c r="L6" i="7" l="1"/>
  <c r="G67" i="7"/>
  <c r="H60" i="7"/>
  <c r="H67" i="7"/>
  <c r="H58" i="7"/>
  <c r="H57" i="7"/>
  <c r="H65" i="7"/>
  <c r="H56" i="7"/>
  <c r="H53" i="7"/>
  <c r="H54" i="7"/>
  <c r="H61" i="7"/>
  <c r="M9" i="7"/>
  <c r="M11" i="7" s="1"/>
  <c r="H63" i="7"/>
  <c r="G42" i="7"/>
  <c r="L9" i="7"/>
  <c r="L11" i="7" s="1"/>
  <c r="H42" i="7" l="1"/>
  <c r="H36" i="7"/>
  <c r="H32" i="7"/>
  <c r="H40" i="7"/>
  <c r="H33" i="7"/>
  <c r="H35" i="7"/>
  <c r="H38" i="7"/>
  <c r="H30" i="7"/>
  <c r="H29" i="7"/>
  <c r="H43"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Neil</author>
  </authors>
  <commentList>
    <comment ref="B45" authorId="0" shapeId="0" xr:uid="{00000000-0006-0000-0000-000001000000}">
      <text>
        <r>
          <rPr>
            <b/>
            <sz val="9"/>
            <color indexed="81"/>
            <rFont val="Tahoma"/>
            <family val="2"/>
          </rPr>
          <t>Neil:</t>
        </r>
        <r>
          <rPr>
            <sz val="9"/>
            <color indexed="81"/>
            <rFont val="Tahoma"/>
            <family val="2"/>
          </rPr>
          <t xml:space="preserve">
Steel + small amount of iron scrap</t>
        </r>
      </text>
    </comment>
    <comment ref="A69" authorId="0" shapeId="0" xr:uid="{00000000-0006-0000-0000-000002000000}">
      <text>
        <r>
          <rPr>
            <b/>
            <sz val="9"/>
            <color indexed="81"/>
            <rFont val="Tahoma"/>
            <family val="2"/>
          </rPr>
          <t>Neil:</t>
        </r>
        <r>
          <rPr>
            <sz val="9"/>
            <color indexed="81"/>
            <rFont val="Tahoma"/>
            <family val="2"/>
          </rPr>
          <t xml:space="preserve">
These do not add up to the exact manufacturing amounts, but are kept consistent for comparison. </t>
        </r>
      </text>
    </comment>
    <comment ref="A75" authorId="0" shapeId="0" xr:uid="{00000000-0006-0000-0000-000003000000}">
      <text>
        <r>
          <rPr>
            <b/>
            <sz val="9"/>
            <color indexed="81"/>
            <rFont val="Tahoma"/>
            <family val="2"/>
          </rPr>
          <t>Neil:</t>
        </r>
        <r>
          <rPr>
            <sz val="9"/>
            <color indexed="81"/>
            <rFont val="Tahoma"/>
            <family val="2"/>
          </rPr>
          <t xml:space="preserve">
Sensitibity Analyses with sustainable sources of energy</t>
        </r>
      </text>
    </comment>
    <comment ref="B84" authorId="0" shapeId="0" xr:uid="{00000000-0006-0000-0000-000004000000}">
      <text>
        <r>
          <rPr>
            <b/>
            <sz val="9"/>
            <color indexed="81"/>
            <rFont val="Tahoma"/>
            <family val="2"/>
          </rPr>
          <t>Neil:</t>
        </r>
        <r>
          <rPr>
            <sz val="9"/>
            <color indexed="81"/>
            <rFont val="Tahoma"/>
            <family val="2"/>
          </rPr>
          <t xml:space="preserve">
Steel + small amount of iron scrap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Neil</author>
  </authors>
  <commentList>
    <comment ref="A30" authorId="0" shapeId="0" xr:uid="{00000000-0006-0000-0400-000001000000}">
      <text>
        <r>
          <rPr>
            <b/>
            <sz val="9"/>
            <color indexed="81"/>
            <rFont val="Tahoma"/>
            <family val="2"/>
          </rPr>
          <t>Neil:</t>
        </r>
        <r>
          <rPr>
            <sz val="9"/>
            <color indexed="81"/>
            <rFont val="Tahoma"/>
            <family val="2"/>
          </rPr>
          <t xml:space="preserve">
</t>
        </r>
        <r>
          <rPr>
            <sz val="18"/>
            <color indexed="81"/>
            <rFont val="Tahoma"/>
            <family val="2"/>
          </rPr>
          <t xml:space="preserve">*Note: Directly use these amounts adapted from Ecovinent. For comparison, we assume the same weight and distances divided by a different lifespan. The exact numbers calculated would be different for transportation. </t>
        </r>
      </text>
    </comment>
    <comment ref="B31" authorId="0" shapeId="0" xr:uid="{00000000-0006-0000-0400-000002000000}">
      <text>
        <r>
          <rPr>
            <b/>
            <sz val="9"/>
            <color indexed="81"/>
            <rFont val="Tahoma"/>
            <family val="2"/>
          </rPr>
          <t>Neil:</t>
        </r>
        <r>
          <rPr>
            <sz val="9"/>
            <color indexed="81"/>
            <rFont val="Tahoma"/>
            <family val="2"/>
          </rPr>
          <t xml:space="preserve">
These do not add up to the exact manufacturing amounts, but are kept consistent for comparison. </t>
        </r>
      </text>
    </comment>
    <comment ref="A34" authorId="0" shapeId="0" xr:uid="{00000000-0006-0000-0400-000003000000}">
      <text>
        <r>
          <rPr>
            <b/>
            <sz val="9"/>
            <color indexed="81"/>
            <rFont val="Tahoma"/>
            <family val="2"/>
          </rPr>
          <t>Neil:</t>
        </r>
        <r>
          <rPr>
            <sz val="9"/>
            <color indexed="81"/>
            <rFont val="Tahoma"/>
            <family val="2"/>
          </rPr>
          <t xml:space="preserve">
</t>
        </r>
        <r>
          <rPr>
            <sz val="16"/>
            <color indexed="81"/>
            <rFont val="Tahoma"/>
            <family val="2"/>
          </rPr>
          <t xml:space="preserve">*Note: Directly use these amounts adapted from Ecovinent. </t>
        </r>
      </text>
    </comment>
    <comment ref="A60" authorId="0" shapeId="0" xr:uid="{00000000-0006-0000-0400-000004000000}">
      <text>
        <r>
          <rPr>
            <b/>
            <sz val="9"/>
            <color indexed="81"/>
            <rFont val="Tahoma"/>
            <family val="2"/>
          </rPr>
          <t>Neil:</t>
        </r>
        <r>
          <rPr>
            <sz val="9"/>
            <color indexed="81"/>
            <rFont val="Tahoma"/>
            <family val="2"/>
          </rPr>
          <t xml:space="preserve">
</t>
        </r>
        <r>
          <rPr>
            <sz val="18"/>
            <color indexed="81"/>
            <rFont val="Tahoma"/>
            <family val="2"/>
          </rPr>
          <t xml:space="preserve">*Note: Directly use these amounts adapted from Ecovinent. For comparison, we assume the same weight and distances divided by a different lifespan. The exact numbers calculated would be different for transportation. </t>
        </r>
      </text>
    </comment>
    <comment ref="B61" authorId="0" shapeId="0" xr:uid="{00000000-0006-0000-0400-000005000000}">
      <text>
        <r>
          <rPr>
            <b/>
            <sz val="9"/>
            <color indexed="81"/>
            <rFont val="Tahoma"/>
            <family val="2"/>
          </rPr>
          <t>Neil:</t>
        </r>
        <r>
          <rPr>
            <sz val="9"/>
            <color indexed="81"/>
            <rFont val="Tahoma"/>
            <family val="2"/>
          </rPr>
          <t xml:space="preserve">
These do not add up to the exact manufacturing amounts, but are kept consistent for comparison. </t>
        </r>
      </text>
    </comment>
    <comment ref="A64" authorId="0" shapeId="0" xr:uid="{00000000-0006-0000-0400-000006000000}">
      <text>
        <r>
          <rPr>
            <b/>
            <sz val="9"/>
            <color indexed="81"/>
            <rFont val="Tahoma"/>
            <family val="2"/>
          </rPr>
          <t>Neil:</t>
        </r>
        <r>
          <rPr>
            <sz val="9"/>
            <color indexed="81"/>
            <rFont val="Tahoma"/>
            <family val="2"/>
          </rPr>
          <t xml:space="preserve">
</t>
        </r>
        <r>
          <rPr>
            <sz val="16"/>
            <color indexed="81"/>
            <rFont val="Tahoma"/>
            <family val="2"/>
          </rPr>
          <t xml:space="preserve">*Note: Directly use these amounts adapted from Ecovinent. </t>
        </r>
      </text>
    </comment>
    <comment ref="A67" authorId="0" shapeId="0" xr:uid="{00000000-0006-0000-0400-000007000000}">
      <text>
        <r>
          <rPr>
            <b/>
            <sz val="9"/>
            <color indexed="81"/>
            <rFont val="Tahoma"/>
            <family val="2"/>
          </rPr>
          <t>Neil:</t>
        </r>
        <r>
          <rPr>
            <sz val="9"/>
            <color indexed="81"/>
            <rFont val="Tahoma"/>
            <family val="2"/>
          </rPr>
          <t xml:space="preserve">
Sensitibity Analyses with sustainable sources of energy</t>
        </r>
      </text>
    </comment>
    <comment ref="B71" authorId="0" shapeId="0" xr:uid="{00000000-0006-0000-0400-000008000000}">
      <text>
        <r>
          <rPr>
            <b/>
            <sz val="9"/>
            <color indexed="81"/>
            <rFont val="Tahoma"/>
            <family val="2"/>
          </rPr>
          <t>Neil:</t>
        </r>
        <r>
          <rPr>
            <sz val="9"/>
            <color indexed="81"/>
            <rFont val="Tahoma"/>
            <family val="2"/>
          </rPr>
          <t xml:space="preserve">
Steel + small amount of iron scrap</t>
        </r>
      </text>
    </comment>
  </commentList>
</comments>
</file>

<file path=xl/sharedStrings.xml><?xml version="1.0" encoding="utf-8"?>
<sst xmlns="http://schemas.openxmlformats.org/spreadsheetml/2006/main" count="906" uniqueCount="329">
  <si>
    <t>Unit</t>
  </si>
  <si>
    <t>kg</t>
  </si>
  <si>
    <t>kWh</t>
  </si>
  <si>
    <t>Energy/Unit  [MJ/Unit]</t>
  </si>
  <si>
    <t>Use phase</t>
  </si>
  <si>
    <t>Disposal</t>
  </si>
  <si>
    <t>Total</t>
  </si>
  <si>
    <t>kg/t conversion factor</t>
  </si>
  <si>
    <t>fraction</t>
  </si>
  <si>
    <t>Transportation</t>
  </si>
  <si>
    <t>Energy per FU [MJ/FU]</t>
  </si>
  <si>
    <t>Check g CO2/MJ</t>
  </si>
  <si>
    <t>g/kg</t>
  </si>
  <si>
    <t>-</t>
  </si>
  <si>
    <t>t-km</t>
  </si>
  <si>
    <t>Quantity per FU</t>
  </si>
  <si>
    <t xml:space="preserve">Result discussion </t>
  </si>
  <si>
    <t>3c. Comparison between scenarios</t>
  </si>
  <si>
    <t xml:space="preserve">4. Interpretation of ratios gCO2/MJ </t>
  </si>
  <si>
    <t>CO2/Unit [kg/unit]</t>
  </si>
  <si>
    <t>CO2/FU</t>
  </si>
  <si>
    <t>fraction2</t>
  </si>
  <si>
    <t>RER</t>
  </si>
  <si>
    <t>Category</t>
  </si>
  <si>
    <t>air</t>
  </si>
  <si>
    <t>fossil+nuclear+primary forest</t>
  </si>
  <si>
    <t>CO2 fossil/total non renewable energy</t>
  </si>
  <si>
    <t>climate change</t>
  </si>
  <si>
    <t>Indicator</t>
  </si>
  <si>
    <t>CO2, fossil</t>
  </si>
  <si>
    <t>non-renewable energy resources</t>
  </si>
  <si>
    <t>Check combustion included</t>
  </si>
  <si>
    <t>GWP 100a</t>
  </si>
  <si>
    <t>renewable energy resources, total</t>
  </si>
  <si>
    <t>Non-renewable  + renewable energy resources, total</t>
  </si>
  <si>
    <t>Activity Name</t>
  </si>
  <si>
    <t>Geography</t>
  </si>
  <si>
    <t>Reference Product Name</t>
  </si>
  <si>
    <t>Reference Product Unit</t>
  </si>
  <si>
    <t>Reference Product Amount</t>
  </si>
  <si>
    <t>MJ-Eq</t>
  </si>
  <si>
    <t>gCO2/MJ</t>
  </si>
  <si>
    <t>kg CO2-Eq</t>
  </si>
  <si>
    <t>polypropylene production, granulate</t>
  </si>
  <si>
    <t>polypropylene, granulate</t>
  </si>
  <si>
    <t>electricity, low voltage</t>
  </si>
  <si>
    <t>metric ton*km</t>
  </si>
  <si>
    <t>Europe without Switzerland</t>
  </si>
  <si>
    <t>CH</t>
  </si>
  <si>
    <t>conversion kg_to_g</t>
  </si>
  <si>
    <t>CO2 fossil/FU</t>
  </si>
  <si>
    <t>metal working, average for steel product manufacturing</t>
  </si>
  <si>
    <t>Net value</t>
  </si>
  <si>
    <t>Fossil CO2
 kgCO2/FU</t>
  </si>
  <si>
    <t>Energy
MJ/FU</t>
  </si>
  <si>
    <t>alkyd paint production, white, solvent-based, product in 60% solution state</t>
  </si>
  <si>
    <t>alkyd paint, white, without solvent, in 60% solution state</t>
  </si>
  <si>
    <t>aluminium production, primary, ingot</t>
  </si>
  <si>
    <t>RoW</t>
  </si>
  <si>
    <t>aluminium, primary, ingot</t>
  </si>
  <si>
    <t>chromium oxide production, flakes</t>
  </si>
  <si>
    <t>chromium oxide, flakes</t>
  </si>
  <si>
    <t>sheet rolling, copper</t>
  </si>
  <si>
    <t>electronics production, for control units</t>
  </si>
  <si>
    <t>electronics, for control units</t>
  </si>
  <si>
    <t>ethylene production, average</t>
  </si>
  <si>
    <t>ethylene</t>
  </si>
  <si>
    <t>ethylene glycol production</t>
  </si>
  <si>
    <t>ethylene glycol</t>
  </si>
  <si>
    <t>market for flat glass, uncoated</t>
  </si>
  <si>
    <t>flat glass, uncoated</t>
  </si>
  <si>
    <t>market for heat, district or industrial, natural gas</t>
  </si>
  <si>
    <t>heat, district or industrial, natural gas</t>
  </si>
  <si>
    <t>MJ</t>
  </si>
  <si>
    <t>market for lead</t>
  </si>
  <si>
    <t>GLO</t>
  </si>
  <si>
    <t>lead</t>
  </si>
  <si>
    <t>market for nickel, class 1</t>
  </si>
  <si>
    <t>nickel, class 1</t>
  </si>
  <si>
    <t>market for polyethylene, high density, granulate</t>
  </si>
  <si>
    <t>polyethylene, high density, granulate</t>
  </si>
  <si>
    <t>market for polyvinylchloride, suspension polymerised</t>
  </si>
  <si>
    <t>polyvinylchloride, suspension polymerised</t>
  </si>
  <si>
    <t>section bar rolling, steel</t>
  </si>
  <si>
    <t>sheet rolling, steel</t>
  </si>
  <si>
    <t>steel production, low-alloyed, hot rolled</t>
  </si>
  <si>
    <t>steel, low-alloyed, hot rolled</t>
  </si>
  <si>
    <t>market for sulfuric acid</t>
  </si>
  <si>
    <t>sulfuric acid</t>
  </si>
  <si>
    <t>market for synthetic rubber</t>
  </si>
  <si>
    <t>synthetic rubber</t>
  </si>
  <si>
    <t>tap water production, conventional treatment</t>
  </si>
  <si>
    <t>tap water</t>
  </si>
  <si>
    <t>market group for transport, freight train</t>
  </si>
  <si>
    <t>transport, freight train</t>
  </si>
  <si>
    <t>market for transport, freight, lorry 16-32 metric ton, EURO4</t>
  </si>
  <si>
    <t>transport, freight, lorry 16-32 metric ton, EURO4</t>
  </si>
  <si>
    <t>transport, freight, sea, container ship</t>
  </si>
  <si>
    <t>market for zinc</t>
  </si>
  <si>
    <t>zinc</t>
  </si>
  <si>
    <t>light fuel oil, burned in industrial furnace 1MW, non-modulating</t>
  </si>
  <si>
    <t>Light fuel oil, burned in furnace 1MW of greenhouse/MJ - RER</t>
  </si>
  <si>
    <t>*</t>
  </si>
  <si>
    <t>market group for electricity, medium voltage</t>
  </si>
  <si>
    <t>UCTE</t>
  </si>
  <si>
    <t>electricity, medium voltage</t>
  </si>
  <si>
    <t>treatment of waste emulsion paint, municipal incineration</t>
  </si>
  <si>
    <t>waste emulsion paint</t>
  </si>
  <si>
    <t>treatment of waste glass, municipal incineration</t>
  </si>
  <si>
    <t>waste glass</t>
  </si>
  <si>
    <t>treatment of waste plastic, mixture, municipal incineration</t>
  </si>
  <si>
    <t>waste plastic, mixture</t>
  </si>
  <si>
    <t>treatment of zinc in car shredder residue, municipal incineration</t>
  </si>
  <si>
    <t>zinc in car shredder residue</t>
  </si>
  <si>
    <t>Transport</t>
  </si>
  <si>
    <t>Manufacturing (Materials + Processing)</t>
  </si>
  <si>
    <t>Operation/Use</t>
  </si>
  <si>
    <t>market for petrol, low-sulfur</t>
  </si>
  <si>
    <t>petrol, low-sulfur</t>
  </si>
  <si>
    <t>treatment of aluminium scrap, post-consumer, prepared for recycling, at remelter</t>
  </si>
  <si>
    <t>aluminium, wrought alloy</t>
  </si>
  <si>
    <t>battery production, Li-ion, rechargeable, prismatic</t>
  </si>
  <si>
    <t>battery, Li-ion, rechargeable, prismatic</t>
  </si>
  <si>
    <t>lubricating oil production</t>
  </si>
  <si>
    <t>lubricating oil</t>
  </si>
  <si>
    <t>market for metal working, average for aluminium product manufacturing</t>
  </si>
  <si>
    <t>metal working, average for aluminium product manufacturing</t>
  </si>
  <si>
    <t>market for polyurethane, rigid foam</t>
  </si>
  <si>
    <t>polyurethane, rigid foam</t>
  </si>
  <si>
    <t>treatment of metal scrap, mixed, for recycling, unsorted, sorting</t>
  </si>
  <si>
    <t>iron scrap, sorted, pressed</t>
  </si>
  <si>
    <t>treatment of waste glass, inert material landfill</t>
  </si>
  <si>
    <t>treatment of waste mineral oil, hazardous waste incineration</t>
  </si>
  <si>
    <t>waste mineral oil</t>
  </si>
  <si>
    <t>treatment of waste plastic, mixture, sanitary landfill</t>
  </si>
  <si>
    <t>market for waste polyurethane foam</t>
  </si>
  <si>
    <t>waste polyurethane foam</t>
  </si>
  <si>
    <t>electricity production, wind, 1-3MW turbine, onshore</t>
  </si>
  <si>
    <t>electricity, high voltage</t>
  </si>
  <si>
    <t>electricity production, photovoltaic, 570kWp open ground installation, multi-Si</t>
  </si>
  <si>
    <t>Light fuel oil, burned in furnace 1MW of greenhouse/MJ</t>
  </si>
  <si>
    <t>transport, freight, lorry 16-32 metric ton</t>
  </si>
  <si>
    <t>aluminium recycling</t>
  </si>
  <si>
    <t>emulsion paint incineration</t>
  </si>
  <si>
    <t>glass incineration</t>
  </si>
  <si>
    <t>plastic mixture incineration</t>
  </si>
  <si>
    <t>zinc in car shredder residue incineration</t>
  </si>
  <si>
    <t>Battery, Li-ion, rechargeable, prismatic</t>
  </si>
  <si>
    <t>Copper</t>
  </si>
  <si>
    <t>Electronics, for control units</t>
  </si>
  <si>
    <t>extruded and thermoformed plastic sheets</t>
  </si>
  <si>
    <t>Metal working, average for aluminium product manufacturing</t>
  </si>
  <si>
    <t>Metal working, average for steel product manufacturing</t>
  </si>
  <si>
    <t>Polypropylene, granulate</t>
  </si>
  <si>
    <t>Polyurethane, rigid foam</t>
  </si>
  <si>
    <t>Recyling of iron and mixed metal scrap</t>
  </si>
  <si>
    <t>glass at landfill</t>
  </si>
  <si>
    <t>mineral oil incineration</t>
  </si>
  <si>
    <t>plastic, mixture at landfill</t>
  </si>
  <si>
    <t>*also used in manufacturing for gas vehicle</t>
  </si>
  <si>
    <t>electricity, wind, 1-3MW turbine, onshore</t>
  </si>
  <si>
    <t>electricity, photovoltaic, 
570kWp open ground installation</t>
  </si>
  <si>
    <t>extrusion of plastic sheets and thermoforming, inline</t>
  </si>
  <si>
    <t>Transportation by Gas Vehicle
FU= 1 vehicle km
Life Cycle stage  (150,000 km lifespan)</t>
  </si>
  <si>
    <t>Transportation by Electric Vehicle
FU= 1 vehicle km
Life Cycle stage (225,000 km lifespan)</t>
  </si>
  <si>
    <t>Gas Vehicle</t>
  </si>
  <si>
    <t>Electric Vehicle</t>
  </si>
  <si>
    <t>Car manufacturing</t>
  </si>
  <si>
    <t>Car transportation</t>
  </si>
  <si>
    <t>Car disposal</t>
  </si>
  <si>
    <t xml:space="preserve">Petrol gas </t>
  </si>
  <si>
    <t>Electric charging - photovoltaic</t>
  </si>
  <si>
    <t>Electric charging - wind</t>
  </si>
  <si>
    <t>Electric Vehicle - Wind</t>
  </si>
  <si>
    <t>Electric Vehicle - Photovoltaic</t>
  </si>
  <si>
    <t xml:space="preserve">3a. Gas vehicle - dominant contributions </t>
  </si>
  <si>
    <t>3b.Electric vehicle- dominant contributions</t>
  </si>
  <si>
    <t>5. Importance of wind and photovolatic sourcing and electricity substitution related to use phase</t>
  </si>
  <si>
    <t>Supply chain petrol, low-sulfur</t>
  </si>
  <si>
    <t>Total EU electricity grid</t>
  </si>
  <si>
    <t>Electric charging - RER</t>
  </si>
  <si>
    <t>Total EU electricity wind</t>
  </si>
  <si>
    <t>Total EU electricity photovoltaic</t>
  </si>
  <si>
    <t>Direct combustion</t>
  </si>
  <si>
    <t>electricity, medium voltage RER</t>
  </si>
  <si>
    <t>CO2equ/Unit [kg/unit]2</t>
  </si>
  <si>
    <t>CO2equ./FU</t>
  </si>
  <si>
    <t>fraction3</t>
  </si>
  <si>
    <t>DALY/kgCO2e</t>
  </si>
  <si>
    <t>DALY/FU</t>
  </si>
  <si>
    <t>GHG CO2equ.
 kgCO2equ/FU</t>
  </si>
  <si>
    <t>Lifetime distance km</t>
  </si>
  <si>
    <t>Cumulative graph</t>
  </si>
  <si>
    <t>Graph per FU</t>
  </si>
  <si>
    <t>Distance over Lifetime</t>
  </si>
  <si>
    <t>GHG CO2equ.
 kgCO2equ over lifetime</t>
  </si>
  <si>
    <t>Electric</t>
  </si>
  <si>
    <t>Gas</t>
  </si>
  <si>
    <t>Photovoltaic</t>
  </si>
  <si>
    <t>Wind</t>
  </si>
  <si>
    <t>Climate change, long term</t>
  </si>
  <si>
    <t>kg CO2 eq (long)</t>
  </si>
  <si>
    <t>Climate change, short term</t>
  </si>
  <si>
    <t>kg CO2 eq (short)</t>
  </si>
  <si>
    <t>Fossil and nuclear energy use</t>
  </si>
  <si>
    <t>MJ deprived</t>
  </si>
  <si>
    <t>Freshwater acidification</t>
  </si>
  <si>
    <t>kg SO2 eq</t>
  </si>
  <si>
    <t>Freshwater ecotoxicity</t>
  </si>
  <si>
    <t>CTUe</t>
  </si>
  <si>
    <t>Freshwater eutrophication</t>
  </si>
  <si>
    <t>kg PO4 P-lim eq</t>
  </si>
  <si>
    <t>Human toxicity cancer</t>
  </si>
  <si>
    <t>CTUh</t>
  </si>
  <si>
    <t>Human toxicity non cancer</t>
  </si>
  <si>
    <t>Ionizing radiations</t>
  </si>
  <si>
    <t>Bq C-14 eq</t>
  </si>
  <si>
    <t>Land occupation, biodiversity</t>
  </si>
  <si>
    <t>m2 arable land eq .yr</t>
  </si>
  <si>
    <t>Land transformation, biodiversity</t>
  </si>
  <si>
    <t>m2 arable land eq</t>
  </si>
  <si>
    <t>Marine eutrophication</t>
  </si>
  <si>
    <t>kg N N-lim eq</t>
  </si>
  <si>
    <t>Mineral resources use</t>
  </si>
  <si>
    <t>kg deprived</t>
  </si>
  <si>
    <t>Ozone Layer Depletion</t>
  </si>
  <si>
    <t>kg CFC-11 eq</t>
  </si>
  <si>
    <t>Particulate matter formation</t>
  </si>
  <si>
    <t>kg PM2.5 eq</t>
  </si>
  <si>
    <t>Photochemical oxidant formation</t>
  </si>
  <si>
    <t>kg NMVOC eq</t>
  </si>
  <si>
    <t>Terrestrial acidification</t>
  </si>
  <si>
    <t>Water scarcity</t>
  </si>
  <si>
    <t>m3 world-eq</t>
  </si>
  <si>
    <t>Impact world+ results midpoint</t>
  </si>
  <si>
    <t>from open LCA in kgCO2equ short per FU</t>
  </si>
  <si>
    <t>Gas Vehicle spreadsheet calculations</t>
  </si>
  <si>
    <t>Gas Vehicle Open LCA</t>
  </si>
  <si>
    <t>Electric Vehicle spreadsheet calculations</t>
  </si>
  <si>
    <t>Electric Vehicle - Wind  spreadsheet calculations</t>
  </si>
  <si>
    <t>Electric Vehicle - Photovoltaic  spreadsheet calculations</t>
  </si>
  <si>
    <t>Electric Vehicle Open LCA</t>
  </si>
  <si>
    <t>Electric Vehicle-Wind Open LCA</t>
  </si>
  <si>
    <t>Electric Vehicle  - Photovoltaic Open LCA</t>
  </si>
  <si>
    <t>Climate change, short term - Open LCA</t>
  </si>
  <si>
    <t>electricity production, hard coal</t>
  </si>
  <si>
    <t>electricity, hard coal</t>
  </si>
  <si>
    <t>Total EU electricity hard coal</t>
  </si>
  <si>
    <t>Electric Vehicle - 
hard coal</t>
  </si>
  <si>
    <t>Electric charging - hard coal</t>
  </si>
  <si>
    <t>Electric Vehicle - Hard coal  spreadsheet calculations</t>
  </si>
  <si>
    <t>The gas vehicle scenario generates higher environmental impacts in terms of energy use and carbon footprint compared to the electric vehicle with UCTE electricity, medium voltage production mix.  However, the electric vehicle scenario with hard coal generates higher environmental impacts in terms of carbon footprint compared to the gas vehicle. The performance of electric vehicles drastically improves (impacts are further reduced) when charging energy is sourced via wind or photovoltaic during the use phase and are sufficient to make them the best scenarios.</t>
  </si>
  <si>
    <t>The ratios of gCO2/MJ fall within expected limits for plastics in the ~25s range (petroleum-based products) and transport by train and freight in the ~60-70s range. Metal products unexpectedly fall in the +80 range and incineration is magnitudes higher. The low values for ethylene Glycol implies that there is no combustion for these compounds.</t>
  </si>
  <si>
    <t>Being able to source energy through wind or solar power is crucial towards absolute sustainability as it can reduce total energy use and fossil emissions by 63%.</t>
  </si>
  <si>
    <t>Electric Vehicle - Hard coal</t>
  </si>
  <si>
    <t>Electric Vehicle - EU mix</t>
  </si>
  <si>
    <t>Transportation
*Please see note in top-corner*</t>
  </si>
  <si>
    <t>Directly Use Numbers Below</t>
  </si>
  <si>
    <t>Use phase
*Please see note in top-corner*</t>
  </si>
  <si>
    <t>Determine using given information</t>
  </si>
  <si>
    <t xml:space="preserve">For use phase sensitivity analyses: </t>
  </si>
  <si>
    <r>
      <t xml:space="preserve">Disposal
</t>
    </r>
    <r>
      <rPr>
        <b/>
        <sz val="14"/>
        <rFont val="Arial"/>
        <family val="2"/>
      </rPr>
      <t>Determine using given information</t>
    </r>
  </si>
  <si>
    <t>Transportation by Electric Vehicle</t>
  </si>
  <si>
    <t>Transportation by Gas Vehicle</t>
  </si>
  <si>
    <t>Quantity original unit</t>
  </si>
  <si>
    <t>Vehicle lifespan (km/vehicle)</t>
  </si>
  <si>
    <t>per vehicle</t>
  </si>
  <si>
    <t>per vehicle over lifespan</t>
  </si>
  <si>
    <t>per V-km</t>
  </si>
  <si>
    <t>per FU</t>
  </si>
  <si>
    <t>aluminium recycled</t>
  </si>
  <si>
    <t>Iron and mixed metal scrap recycled</t>
  </si>
  <si>
    <t>The use phase operations for petrol is the dominant process at 85.1% for both energy use and 86.7% for CO2 eq emissions</t>
  </si>
  <si>
    <t>The electricity use during charging of the use phase operations are the dominant source of energy use (82.4%) and  CO2 eq emissions (76.9%)</t>
  </si>
  <si>
    <t>platinum</t>
  </si>
  <si>
    <t>platinum to generic market for metal catalyst for catalytic converter</t>
  </si>
  <si>
    <t>metal catalyst for catalytic converter</t>
  </si>
  <si>
    <t>platinum for catalytic converter</t>
  </si>
  <si>
    <t>Worth adding, not negligble</t>
  </si>
  <si>
    <t>Electricity was directly in kWh, do not divide by 3.6</t>
  </si>
  <si>
    <t>Do not include recycling process in thelife cycle</t>
  </si>
  <si>
    <t>Should not be chromium oxide</t>
  </si>
  <si>
    <t>market for copper, anode</t>
  </si>
  <si>
    <t>copper, anode</t>
  </si>
  <si>
    <t>other metals (Cu, Zn, Ni, Pb)</t>
  </si>
  <si>
    <t>x</t>
  </si>
  <si>
    <t>polyethylene, polypropylene &amp; PVC</t>
  </si>
  <si>
    <t>v</t>
  </si>
  <si>
    <t>heat production, natural gas, at industrial furnace &gt;100kW</t>
  </si>
  <si>
    <t>ethylene, paints, fluids</t>
  </si>
  <si>
    <t>glas</t>
  </si>
  <si>
    <t>paladium for catalytic converter</t>
  </si>
  <si>
    <t>palladium to generic market for metal catalyst for catalytic converter</t>
  </si>
  <si>
    <t>1 vehicle</t>
  </si>
  <si>
    <t>price/Unit  [Euro/Unit]</t>
  </si>
  <si>
    <t>per year</t>
  </si>
  <si>
    <t>Tax on vehicle at purchase</t>
  </si>
  <si>
    <t>Insurance per year</t>
  </si>
  <si>
    <t>Taxes for immatriculation per year</t>
  </si>
  <si>
    <t>maintenance per 10000km</t>
  </si>
  <si>
    <t>L</t>
  </si>
  <si>
    <t>Purchase</t>
  </si>
  <si>
    <t>Fixed annual costs</t>
  </si>
  <si>
    <t xml:space="preserve">Resale </t>
  </si>
  <si>
    <t>Resale value - end of life</t>
  </si>
  <si>
    <t>Variable cost Fuel - Use phase</t>
  </si>
  <si>
    <t>Variabl cost maintenance</t>
  </si>
  <si>
    <t>Variable cost maintenance</t>
  </si>
  <si>
    <t>Vehicle lifetime before resale</t>
  </si>
  <si>
    <t>Cost relevant distance</t>
  </si>
  <si>
    <t>km/yr</t>
  </si>
  <si>
    <t>Tires change every 20000 km</t>
  </si>
  <si>
    <t>Costs</t>
  </si>
  <si>
    <t>fraction costs</t>
  </si>
  <si>
    <t>Cost per FU [Euro/V-km]</t>
  </si>
  <si>
    <t>annual purchase</t>
  </si>
  <si>
    <t>km until change</t>
  </si>
  <si>
    <t>Petrol Vehicle</t>
  </si>
  <si>
    <t>Euro/V-km</t>
  </si>
  <si>
    <t>p</t>
  </si>
  <si>
    <t>electricity</t>
  </si>
  <si>
    <t>Transportation by leased Electric Vehicle
FU= 1 vehicle km
Life Cycle stage  (x km lifespan)</t>
  </si>
  <si>
    <t>Transportation by Electric Vehicle
FU= 1 vehicle km
Life Cycle stage  (x km lifespan)</t>
  </si>
  <si>
    <t>Leasing 3x3+1 years</t>
  </si>
  <si>
    <t>1 vehicle (3 times new leasing)</t>
  </si>
  <si>
    <t>Leased electric vehicle</t>
  </si>
  <si>
    <t>liter</t>
  </si>
  <si>
    <t>Registration taxes per year</t>
  </si>
  <si>
    <t>1 vehicle incl. Taxes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</si>
</sst>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0.0"/>
    <numFmt numFmtId="167" formatCode="0.00000"/>
    <numFmt numFmtId="168" formatCode="_ &quot;CHF&quot;\ * #,##0.00_ ;_ &quot;CHF&quot;\ * \-#,##0.00_ ;_ &quot;CHF&quot;\ * &quot;-&quot;??_ ;_ @_ "/>
    <numFmt numFmtId="169" formatCode="0.0000"/>
    <numFmt numFmtId="170" formatCode="0.000%"/>
  </numFmts>
  <fonts count="18">
    <font>
      <sz val="11"/>
      <color theme="1"/>
      <name val="Calibri"/>
      <family val="2"/>
      <scheme val="minor"/>
    </font>
    <font>
      <sz val="16"/>
      <color theme="1"/>
      <name val="Arial"/>
      <family val="2"/>
    </font>
    <font>
      <sz val="16"/>
      <color rgb="FFFF0000"/>
      <name val="Arial"/>
      <family val="2"/>
    </font>
    <font>
      <b/>
      <sz val="16"/>
      <color theme="1"/>
      <name val="Arial"/>
      <family val="2"/>
    </font>
    <font>
      <sz val="11"/>
      <color theme="1"/>
      <name val="Calibri Light"/>
      <family val="2"/>
      <scheme val="major"/>
    </font>
    <font>
      <b/>
      <sz val="11"/>
      <color theme="0"/>
      <name val="Calibri Light"/>
      <family val="2"/>
      <scheme val="major"/>
    </font>
    <font>
      <b/>
      <sz val="9"/>
      <color indexed="81"/>
      <name val="Tahoma"/>
      <family val="2"/>
    </font>
    <font>
      <sz val="9"/>
      <color indexed="81"/>
      <name val="Tahoma"/>
      <family val="2"/>
    </font>
    <font>
      <u/>
      <sz val="11"/>
      <color theme="10"/>
      <name val="Calibri"/>
      <family val="2"/>
    </font>
    <font>
      <sz val="11"/>
      <color theme="1"/>
      <name val="Helvetica LT Pro"/>
      <family val="2"/>
    </font>
    <font>
      <sz val="16"/>
      <color theme="1"/>
      <name val="Arial"/>
      <family val="2"/>
    </font>
    <font>
      <sz val="16"/>
      <color theme="1"/>
      <name val="Arial"/>
      <family val="2"/>
    </font>
    <font>
      <b/>
      <sz val="11"/>
      <color theme="1"/>
      <name val="Calibri"/>
      <family val="2"/>
      <scheme val="minor"/>
    </font>
    <font>
      <sz val="16"/>
      <color indexed="81"/>
      <name val="Tahoma"/>
      <family val="2"/>
    </font>
    <font>
      <sz val="18"/>
      <color indexed="81"/>
      <name val="Tahoma"/>
      <family val="2"/>
    </font>
    <font>
      <b/>
      <sz val="14"/>
      <color theme="1"/>
      <name val="Arial"/>
      <family val="2"/>
    </font>
    <font>
      <b/>
      <sz val="14"/>
      <name val="Arial"/>
      <family val="2"/>
    </font>
    <font>
      <sz val="8"/>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tint="0.39997558519241921"/>
        <bgColor indexed="64"/>
      </patternFill>
    </fill>
  </fills>
  <borders count="50">
    <border>
      <left/>
      <right/>
      <top/>
      <bottom/>
      <diagonal/>
    </border>
    <border>
      <left/>
      <right/>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bottom/>
      <diagonal/>
    </border>
    <border>
      <left/>
      <right style="thin">
        <color auto="1"/>
      </right>
      <top/>
      <bottom style="medium">
        <color auto="1"/>
      </bottom>
      <diagonal/>
    </border>
    <border>
      <left/>
      <right/>
      <top/>
      <bottom style="thin">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top style="thin">
        <color auto="1"/>
      </top>
      <bottom/>
      <diagonal/>
    </border>
    <border>
      <left style="thin">
        <color auto="1"/>
      </left>
      <right style="medium">
        <color auto="1"/>
      </right>
      <top style="thin">
        <color auto="1"/>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bottom style="thin">
        <color auto="1"/>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style="thin">
        <color auto="1"/>
      </top>
      <bottom/>
      <diagonal/>
    </border>
    <border>
      <left/>
      <right style="medium">
        <color auto="1"/>
      </right>
      <top/>
      <bottom style="thin">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3">
    <xf numFmtId="0" fontId="0" fillId="0" borderId="0"/>
    <xf numFmtId="0" fontId="8" fillId="0" borderId="0" applyNumberFormat="0" applyFill="0" applyBorder="0" applyAlignment="0" applyProtection="0">
      <alignment vertical="top"/>
      <protection locked="0"/>
    </xf>
    <xf numFmtId="168" fontId="9" fillId="0" borderId="0"/>
  </cellStyleXfs>
  <cellXfs count="310">
    <xf numFmtId="0" fontId="0" fillId="0" borderId="0" xfId="0"/>
    <xf numFmtId="0" fontId="1" fillId="0" borderId="0" xfId="0" applyFont="1"/>
    <xf numFmtId="0" fontId="1" fillId="0" borderId="0" xfId="0" applyFont="1" applyAlignment="1">
      <alignment vertical="top" wrapText="1"/>
    </xf>
    <xf numFmtId="0" fontId="1" fillId="0" borderId="0" xfId="0" applyFont="1" applyAlignment="1">
      <alignment horizontal="center"/>
    </xf>
    <xf numFmtId="0" fontId="2" fillId="2" borderId="0" xfId="0" applyFont="1" applyFill="1"/>
    <xf numFmtId="0" fontId="1" fillId="2" borderId="0" xfId="0" applyFont="1" applyFill="1" applyAlignment="1">
      <alignment horizontal="center"/>
    </xf>
    <xf numFmtId="0" fontId="2" fillId="2" borderId="2" xfId="0" applyFont="1" applyFill="1" applyBorder="1"/>
    <xf numFmtId="0" fontId="1" fillId="0" borderId="2" xfId="0" applyFont="1" applyBorder="1"/>
    <xf numFmtId="0" fontId="2" fillId="2" borderId="4" xfId="0" applyFont="1" applyFill="1" applyBorder="1"/>
    <xf numFmtId="0" fontId="1" fillId="0" borderId="4" xfId="0" applyFont="1" applyBorder="1" applyAlignment="1">
      <alignment horizontal="center"/>
    </xf>
    <xf numFmtId="0" fontId="1" fillId="2" borderId="4" xfId="0" applyFont="1" applyFill="1" applyBorder="1" applyAlignment="1">
      <alignment horizontal="center"/>
    </xf>
    <xf numFmtId="164" fontId="1" fillId="0" borderId="4" xfId="0" applyNumberFormat="1" applyFont="1" applyBorder="1" applyAlignment="1">
      <alignment horizontal="center"/>
    </xf>
    <xf numFmtId="0" fontId="2" fillId="2" borderId="7" xfId="0" applyFont="1" applyFill="1" applyBorder="1"/>
    <xf numFmtId="165" fontId="1" fillId="0" borderId="7" xfId="0" applyNumberFormat="1" applyFont="1" applyBorder="1" applyAlignment="1">
      <alignment horizontal="center"/>
    </xf>
    <xf numFmtId="0" fontId="1" fillId="2" borderId="7" xfId="0" applyFont="1" applyFill="1" applyBorder="1" applyAlignment="1">
      <alignment horizontal="center"/>
    </xf>
    <xf numFmtId="1" fontId="1" fillId="0" borderId="0" xfId="0" applyNumberFormat="1" applyFont="1"/>
    <xf numFmtId="0" fontId="1" fillId="3" borderId="0" xfId="0" applyFont="1" applyFill="1" applyAlignment="1">
      <alignment horizontal="center"/>
    </xf>
    <xf numFmtId="0" fontId="1" fillId="2" borderId="9" xfId="0" applyFont="1" applyFill="1" applyBorder="1" applyAlignment="1">
      <alignment horizontal="center"/>
    </xf>
    <xf numFmtId="0" fontId="1" fillId="0" borderId="11" xfId="0" applyFont="1" applyBorder="1"/>
    <xf numFmtId="0" fontId="1" fillId="0" borderId="12" xfId="0" applyFont="1" applyBorder="1"/>
    <xf numFmtId="0" fontId="1" fillId="0" borderId="12" xfId="0" applyFont="1" applyBorder="1" applyAlignment="1">
      <alignment horizontal="center"/>
    </xf>
    <xf numFmtId="0" fontId="1" fillId="0" borderId="0" xfId="0" applyFont="1" applyAlignment="1">
      <alignment wrapText="1"/>
    </xf>
    <xf numFmtId="0" fontId="3" fillId="0" borderId="0" xfId="0" applyFont="1"/>
    <xf numFmtId="0" fontId="1" fillId="0" borderId="12" xfId="0" applyFont="1" applyBorder="1" applyAlignment="1">
      <alignment wrapText="1"/>
    </xf>
    <xf numFmtId="1" fontId="2" fillId="2" borderId="13" xfId="0" applyNumberFormat="1" applyFont="1" applyFill="1" applyBorder="1"/>
    <xf numFmtId="1" fontId="1" fillId="0" borderId="13" xfId="0" applyNumberFormat="1" applyFont="1" applyBorder="1" applyAlignment="1">
      <alignment horizontal="center"/>
    </xf>
    <xf numFmtId="1" fontId="1" fillId="2" borderId="13" xfId="0" applyNumberFormat="1" applyFont="1" applyFill="1" applyBorder="1" applyAlignment="1">
      <alignment horizontal="center"/>
    </xf>
    <xf numFmtId="0" fontId="1" fillId="0" borderId="1" xfId="0" applyFont="1" applyBorder="1" applyAlignment="1">
      <alignment vertical="top" wrapText="1"/>
    </xf>
    <xf numFmtId="0" fontId="1" fillId="0" borderId="4" xfId="0" quotePrefix="1" applyFont="1" applyBorder="1" applyAlignment="1">
      <alignment horizontal="center"/>
    </xf>
    <xf numFmtId="2" fontId="1" fillId="0" borderId="0" xfId="0" applyNumberFormat="1" applyFont="1" applyAlignment="1">
      <alignment horizontal="center"/>
    </xf>
    <xf numFmtId="0" fontId="4" fillId="0" borderId="0" xfId="0" applyFont="1"/>
    <xf numFmtId="0" fontId="5" fillId="4" borderId="12" xfId="0" applyFont="1" applyFill="1" applyBorder="1" applyAlignment="1">
      <alignment vertical="top" wrapText="1"/>
    </xf>
    <xf numFmtId="164" fontId="5" fillId="4" borderId="12" xfId="0" applyNumberFormat="1" applyFont="1" applyFill="1" applyBorder="1" applyAlignment="1">
      <alignment vertical="top" wrapText="1"/>
    </xf>
    <xf numFmtId="2" fontId="5" fillId="4" borderId="12" xfId="0" applyNumberFormat="1" applyFont="1" applyFill="1" applyBorder="1" applyAlignment="1">
      <alignment vertical="top" wrapText="1"/>
    </xf>
    <xf numFmtId="166" fontId="5" fillId="4" borderId="12" xfId="0" applyNumberFormat="1" applyFont="1" applyFill="1" applyBorder="1" applyAlignment="1">
      <alignment vertical="top" wrapText="1"/>
    </xf>
    <xf numFmtId="11" fontId="1" fillId="0" borderId="0" xfId="0" applyNumberFormat="1" applyFont="1" applyAlignment="1">
      <alignment horizontal="center"/>
    </xf>
    <xf numFmtId="164" fontId="1" fillId="0" borderId="0" xfId="0" applyNumberFormat="1" applyFont="1"/>
    <xf numFmtId="164" fontId="2" fillId="2" borderId="4" xfId="0" applyNumberFormat="1" applyFont="1" applyFill="1" applyBorder="1"/>
    <xf numFmtId="164" fontId="1" fillId="2" borderId="4" xfId="0" applyNumberFormat="1" applyFont="1" applyFill="1" applyBorder="1" applyAlignment="1">
      <alignment horizontal="center"/>
    </xf>
    <xf numFmtId="164" fontId="1" fillId="0" borderId="0" xfId="0" applyNumberFormat="1" applyFont="1" applyAlignment="1">
      <alignment horizontal="center"/>
    </xf>
    <xf numFmtId="2" fontId="1" fillId="3" borderId="0" xfId="0" applyNumberFormat="1" applyFont="1" applyFill="1" applyAlignment="1">
      <alignment horizontal="center"/>
    </xf>
    <xf numFmtId="167" fontId="1" fillId="0" borderId="0" xfId="0" applyNumberFormat="1" applyFont="1"/>
    <xf numFmtId="0" fontId="1" fillId="0" borderId="18" xfId="0" applyFont="1" applyBorder="1"/>
    <xf numFmtId="0" fontId="1" fillId="3" borderId="18" xfId="0" applyFont="1" applyFill="1" applyBorder="1"/>
    <xf numFmtId="164" fontId="1" fillId="3" borderId="18" xfId="0" applyNumberFormat="1" applyFont="1" applyFill="1" applyBorder="1"/>
    <xf numFmtId="167" fontId="1" fillId="0" borderId="18" xfId="0" applyNumberFormat="1" applyFont="1" applyBorder="1"/>
    <xf numFmtId="164" fontId="1" fillId="0" borderId="18" xfId="0" applyNumberFormat="1" applyFont="1" applyBorder="1"/>
    <xf numFmtId="0" fontId="1" fillId="0" borderId="17" xfId="0" applyFont="1" applyBorder="1"/>
    <xf numFmtId="0" fontId="1" fillId="0" borderId="12" xfId="0" applyFont="1" applyBorder="1" applyAlignment="1">
      <alignment vertical="top" wrapText="1"/>
    </xf>
    <xf numFmtId="0" fontId="0" fillId="0" borderId="0" xfId="0" applyAlignment="1">
      <alignment wrapText="1"/>
    </xf>
    <xf numFmtId="0" fontId="0" fillId="0" borderId="12" xfId="0" applyBorder="1"/>
    <xf numFmtId="2" fontId="0" fillId="0" borderId="17" xfId="0" applyNumberFormat="1" applyBorder="1"/>
    <xf numFmtId="2" fontId="0" fillId="0" borderId="12" xfId="0" applyNumberFormat="1" applyBorder="1"/>
    <xf numFmtId="166" fontId="0" fillId="0" borderId="17" xfId="0" applyNumberFormat="1" applyBorder="1"/>
    <xf numFmtId="166" fontId="0" fillId="0" borderId="12" xfId="0" applyNumberFormat="1" applyBorder="1"/>
    <xf numFmtId="164" fontId="0" fillId="0" borderId="12" xfId="0" applyNumberFormat="1" applyBorder="1"/>
    <xf numFmtId="0" fontId="5" fillId="4" borderId="19" xfId="0" applyFont="1" applyFill="1" applyBorder="1" applyAlignment="1">
      <alignment horizontal="left" vertical="top" wrapText="1"/>
    </xf>
    <xf numFmtId="164" fontId="5" fillId="4" borderId="19" xfId="0" applyNumberFormat="1" applyFont="1" applyFill="1" applyBorder="1" applyAlignment="1">
      <alignment vertical="top" wrapText="1"/>
    </xf>
    <xf numFmtId="2" fontId="5" fillId="4" borderId="19" xfId="0" applyNumberFormat="1" applyFont="1" applyFill="1" applyBorder="1" applyAlignment="1">
      <alignment vertical="top" wrapText="1"/>
    </xf>
    <xf numFmtId="166" fontId="5" fillId="4" borderId="19" xfId="0" applyNumberFormat="1" applyFont="1" applyFill="1" applyBorder="1" applyAlignment="1">
      <alignment vertical="top" wrapText="1"/>
    </xf>
    <xf numFmtId="0" fontId="5" fillId="4" borderId="19" xfId="0" applyFont="1" applyFill="1" applyBorder="1" applyAlignment="1">
      <alignment vertical="top" wrapText="1"/>
    </xf>
    <xf numFmtId="0" fontId="0" fillId="0" borderId="20" xfId="0" applyBorder="1"/>
    <xf numFmtId="0" fontId="0" fillId="0" borderId="21" xfId="0" applyBorder="1"/>
    <xf numFmtId="164" fontId="0" fillId="0" borderId="21" xfId="0" applyNumberFormat="1" applyBorder="1"/>
    <xf numFmtId="2" fontId="0" fillId="0" borderId="21" xfId="0" applyNumberFormat="1" applyBorder="1"/>
    <xf numFmtId="166" fontId="0" fillId="0" borderId="21" xfId="0" applyNumberFormat="1" applyBorder="1"/>
    <xf numFmtId="2" fontId="0" fillId="0" borderId="22" xfId="0" applyNumberFormat="1" applyBorder="1"/>
    <xf numFmtId="0" fontId="0" fillId="0" borderId="23" xfId="0" applyBorder="1"/>
    <xf numFmtId="2" fontId="0" fillId="0" borderId="24" xfId="0" applyNumberFormat="1" applyBorder="1"/>
    <xf numFmtId="0" fontId="0" fillId="0" borderId="25" xfId="0" applyBorder="1"/>
    <xf numFmtId="0" fontId="0" fillId="0" borderId="27" xfId="0" applyBorder="1"/>
    <xf numFmtId="164" fontId="0" fillId="0" borderId="27" xfId="0" applyNumberFormat="1" applyBorder="1"/>
    <xf numFmtId="2" fontId="0" fillId="0" borderId="28" xfId="0" applyNumberFormat="1" applyBorder="1"/>
    <xf numFmtId="166" fontId="0" fillId="0" borderId="28" xfId="0" applyNumberFormat="1" applyBorder="1"/>
    <xf numFmtId="2" fontId="0" fillId="0" borderId="8" xfId="0" applyNumberFormat="1" applyBorder="1"/>
    <xf numFmtId="0" fontId="0" fillId="0" borderId="29" xfId="0" applyBorder="1"/>
    <xf numFmtId="0" fontId="0" fillId="6" borderId="12" xfId="0" applyFill="1" applyBorder="1"/>
    <xf numFmtId="164" fontId="0" fillId="6" borderId="12" xfId="0" applyNumberFormat="1" applyFill="1" applyBorder="1"/>
    <xf numFmtId="0" fontId="0" fillId="6" borderId="19" xfId="0" applyFill="1" applyBorder="1"/>
    <xf numFmtId="164" fontId="0" fillId="6" borderId="19" xfId="0" applyNumberFormat="1" applyFill="1" applyBorder="1"/>
    <xf numFmtId="0" fontId="0" fillId="7" borderId="12" xfId="0" applyFill="1" applyBorder="1"/>
    <xf numFmtId="164" fontId="0" fillId="7" borderId="12" xfId="0" applyNumberFormat="1" applyFill="1" applyBorder="1"/>
    <xf numFmtId="0" fontId="0" fillId="6" borderId="23" xfId="0" applyFill="1" applyBorder="1"/>
    <xf numFmtId="0" fontId="0" fillId="7" borderId="23" xfId="0" applyFill="1" applyBorder="1"/>
    <xf numFmtId="0" fontId="0" fillId="5" borderId="27" xfId="0" applyFill="1" applyBorder="1"/>
    <xf numFmtId="164" fontId="0" fillId="5" borderId="27" xfId="0" applyNumberFormat="1" applyFill="1" applyBorder="1"/>
    <xf numFmtId="2" fontId="0" fillId="6" borderId="12" xfId="0" applyNumberFormat="1" applyFill="1" applyBorder="1"/>
    <xf numFmtId="166" fontId="0" fillId="6" borderId="12" xfId="0" applyNumberFormat="1" applyFill="1" applyBorder="1"/>
    <xf numFmtId="2" fontId="0" fillId="7" borderId="12" xfId="0" applyNumberFormat="1" applyFill="1" applyBorder="1"/>
    <xf numFmtId="166" fontId="0" fillId="7" borderId="12" xfId="0" applyNumberFormat="1" applyFill="1" applyBorder="1"/>
    <xf numFmtId="2" fontId="0" fillId="0" borderId="31" xfId="0" applyNumberFormat="1" applyBorder="1"/>
    <xf numFmtId="2" fontId="0" fillId="6" borderId="31" xfId="0" applyNumberFormat="1" applyFill="1" applyBorder="1"/>
    <xf numFmtId="2" fontId="0" fillId="7" borderId="31" xfId="0" applyNumberFormat="1" applyFill="1" applyBorder="1"/>
    <xf numFmtId="0" fontId="0" fillId="5" borderId="26" xfId="0" applyFill="1" applyBorder="1"/>
    <xf numFmtId="2" fontId="0" fillId="5" borderId="27" xfId="0" applyNumberFormat="1" applyFill="1" applyBorder="1"/>
    <xf numFmtId="166" fontId="0" fillId="5" borderId="27" xfId="0" applyNumberFormat="1" applyFill="1" applyBorder="1"/>
    <xf numFmtId="2" fontId="0" fillId="5" borderId="32" xfId="0" applyNumberFormat="1" applyFill="1" applyBorder="1"/>
    <xf numFmtId="0" fontId="0" fillId="6" borderId="30" xfId="0" applyFill="1" applyBorder="1"/>
    <xf numFmtId="2" fontId="0" fillId="6" borderId="19" xfId="0" applyNumberFormat="1" applyFill="1" applyBorder="1"/>
    <xf numFmtId="166" fontId="0" fillId="6" borderId="19" xfId="0" applyNumberFormat="1" applyFill="1" applyBorder="1"/>
    <xf numFmtId="2" fontId="0" fillId="6" borderId="10" xfId="0" applyNumberFormat="1" applyFill="1" applyBorder="1"/>
    <xf numFmtId="2" fontId="10" fillId="0" borderId="0" xfId="0" applyNumberFormat="1" applyFont="1" applyAlignment="1">
      <alignment horizontal="center"/>
    </xf>
    <xf numFmtId="165" fontId="10" fillId="0" borderId="7" xfId="0" applyNumberFormat="1" applyFont="1" applyBorder="1" applyAlignment="1">
      <alignment horizontal="center"/>
    </xf>
    <xf numFmtId="11" fontId="1" fillId="0" borderId="4" xfId="0" applyNumberFormat="1" applyFont="1" applyBorder="1" applyAlignment="1">
      <alignment horizontal="center"/>
    </xf>
    <xf numFmtId="2" fontId="10" fillId="0" borderId="33" xfId="0" applyNumberFormat="1" applyFont="1" applyBorder="1" applyAlignment="1">
      <alignment horizontal="center"/>
    </xf>
    <xf numFmtId="0" fontId="1" fillId="2" borderId="33" xfId="0" applyFont="1" applyFill="1" applyBorder="1" applyAlignment="1">
      <alignment horizontal="center"/>
    </xf>
    <xf numFmtId="2" fontId="1" fillId="0" borderId="18" xfId="0" applyNumberFormat="1" applyFont="1" applyBorder="1" applyAlignment="1">
      <alignment horizontal="center"/>
    </xf>
    <xf numFmtId="10" fontId="1" fillId="0" borderId="13" xfId="0" applyNumberFormat="1" applyFont="1" applyBorder="1" applyAlignment="1">
      <alignment horizontal="center"/>
    </xf>
    <xf numFmtId="2" fontId="1" fillId="0" borderId="13" xfId="0" applyNumberFormat="1" applyFont="1" applyBorder="1" applyAlignment="1">
      <alignment horizontal="center"/>
    </xf>
    <xf numFmtId="2" fontId="1" fillId="0" borderId="33" xfId="0" applyNumberFormat="1" applyFont="1" applyBorder="1" applyAlignment="1">
      <alignment horizontal="center"/>
    </xf>
    <xf numFmtId="1" fontId="1" fillId="0" borderId="4" xfId="0" applyNumberFormat="1" applyFont="1" applyBorder="1" applyAlignment="1">
      <alignment horizontal="center"/>
    </xf>
    <xf numFmtId="1" fontId="1" fillId="0" borderId="2" xfId="0" applyNumberFormat="1" applyFont="1" applyBorder="1" applyAlignment="1">
      <alignment horizontal="center"/>
    </xf>
    <xf numFmtId="2" fontId="0" fillId="6" borderId="17" xfId="0" applyNumberFormat="1" applyFill="1" applyBorder="1"/>
    <xf numFmtId="164" fontId="1" fillId="0" borderId="18" xfId="0" applyNumberFormat="1" applyFont="1" applyBorder="1" applyAlignment="1">
      <alignment horizontal="center"/>
    </xf>
    <xf numFmtId="164" fontId="3" fillId="0" borderId="18" xfId="0" applyNumberFormat="1" applyFont="1" applyBorder="1" applyAlignment="1">
      <alignment horizontal="center"/>
    </xf>
    <xf numFmtId="11" fontId="1" fillId="0" borderId="18" xfId="0" applyNumberFormat="1" applyFont="1" applyBorder="1" applyAlignment="1">
      <alignment horizontal="center"/>
    </xf>
    <xf numFmtId="11" fontId="1" fillId="2" borderId="4" xfId="0" applyNumberFormat="1" applyFont="1" applyFill="1" applyBorder="1" applyAlignment="1">
      <alignment horizontal="center"/>
    </xf>
    <xf numFmtId="11" fontId="1" fillId="3" borderId="18" xfId="0" applyNumberFormat="1" applyFont="1" applyFill="1" applyBorder="1"/>
    <xf numFmtId="11" fontId="1" fillId="0" borderId="18" xfId="0" applyNumberFormat="1" applyFont="1" applyBorder="1"/>
    <xf numFmtId="2" fontId="1" fillId="0" borderId="17" xfId="0" applyNumberFormat="1" applyFont="1" applyBorder="1"/>
    <xf numFmtId="2" fontId="1" fillId="0" borderId="18" xfId="0" applyNumberFormat="1" applyFont="1" applyBorder="1"/>
    <xf numFmtId="169" fontId="1" fillId="0" borderId="18" xfId="0" applyNumberFormat="1" applyFont="1" applyBorder="1"/>
    <xf numFmtId="165" fontId="1" fillId="0" borderId="0" xfId="0" applyNumberFormat="1" applyFont="1"/>
    <xf numFmtId="164" fontId="3" fillId="0" borderId="0" xfId="0" applyNumberFormat="1" applyFont="1" applyAlignment="1">
      <alignment horizontal="center"/>
    </xf>
    <xf numFmtId="1" fontId="1" fillId="0" borderId="0" xfId="0" applyNumberFormat="1" applyFont="1" applyAlignment="1">
      <alignment horizontal="center"/>
    </xf>
    <xf numFmtId="0" fontId="1" fillId="0" borderId="3" xfId="0" applyFont="1" applyBorder="1"/>
    <xf numFmtId="0" fontId="1" fillId="0" borderId="1" xfId="0" applyFont="1" applyBorder="1" applyAlignment="1">
      <alignment horizontal="center"/>
    </xf>
    <xf numFmtId="0" fontId="1" fillId="0" borderId="5" xfId="0" quotePrefix="1" applyFont="1" applyBorder="1" applyAlignment="1">
      <alignment horizontal="center"/>
    </xf>
    <xf numFmtId="165" fontId="1" fillId="0" borderId="8" xfId="0" applyNumberFormat="1" applyFont="1" applyBorder="1" applyAlignment="1">
      <alignment horizontal="center"/>
    </xf>
    <xf numFmtId="2" fontId="1" fillId="0" borderId="1" xfId="0" applyNumberFormat="1" applyFont="1" applyBorder="1" applyAlignment="1">
      <alignment horizontal="center"/>
    </xf>
    <xf numFmtId="1" fontId="1" fillId="0" borderId="8" xfId="0" applyNumberFormat="1" applyFont="1" applyBorder="1" applyAlignment="1">
      <alignment horizontal="center"/>
    </xf>
    <xf numFmtId="0" fontId="1" fillId="0" borderId="34" xfId="0" applyFont="1" applyBorder="1"/>
    <xf numFmtId="0" fontId="1" fillId="0" borderId="36" xfId="0" applyFont="1" applyBorder="1" applyAlignment="1">
      <alignment horizontal="center"/>
    </xf>
    <xf numFmtId="0" fontId="1" fillId="0" borderId="37" xfId="0" quotePrefix="1" applyFont="1" applyBorder="1" applyAlignment="1">
      <alignment horizontal="center"/>
    </xf>
    <xf numFmtId="164" fontId="3" fillId="0" borderId="37" xfId="0" applyNumberFormat="1" applyFont="1" applyBorder="1" applyAlignment="1">
      <alignment horizontal="center"/>
    </xf>
    <xf numFmtId="165" fontId="1" fillId="0" borderId="38" xfId="0" applyNumberFormat="1" applyFont="1" applyBorder="1" applyAlignment="1">
      <alignment horizontal="center"/>
    </xf>
    <xf numFmtId="2" fontId="1" fillId="0" borderId="36" xfId="0" applyNumberFormat="1" applyFont="1" applyBorder="1" applyAlignment="1">
      <alignment horizontal="center"/>
    </xf>
    <xf numFmtId="1" fontId="1" fillId="0" borderId="38" xfId="0" applyNumberFormat="1" applyFont="1" applyBorder="1" applyAlignment="1">
      <alignment horizontal="center"/>
    </xf>
    <xf numFmtId="0" fontId="11" fillId="0" borderId="0" xfId="0" applyFont="1" applyAlignment="1">
      <alignment horizontal="center"/>
    </xf>
    <xf numFmtId="11" fontId="11" fillId="0" borderId="0" xfId="0" applyNumberFormat="1" applyFont="1" applyAlignment="1">
      <alignment horizontal="center"/>
    </xf>
    <xf numFmtId="1" fontId="1" fillId="2" borderId="0" xfId="0" applyNumberFormat="1" applyFont="1" applyFill="1" applyAlignment="1">
      <alignment horizontal="center"/>
    </xf>
    <xf numFmtId="170" fontId="1" fillId="0" borderId="7" xfId="0" applyNumberFormat="1" applyFont="1" applyBorder="1" applyAlignment="1">
      <alignment horizontal="center"/>
    </xf>
    <xf numFmtId="1" fontId="2" fillId="2" borderId="41" xfId="0" applyNumberFormat="1" applyFont="1" applyFill="1" applyBorder="1"/>
    <xf numFmtId="1" fontId="1" fillId="2" borderId="4" xfId="0" applyNumberFormat="1" applyFont="1" applyFill="1" applyBorder="1" applyAlignment="1">
      <alignment horizontal="center"/>
    </xf>
    <xf numFmtId="1" fontId="1" fillId="2" borderId="5" xfId="0" applyNumberFormat="1" applyFont="1" applyFill="1" applyBorder="1" applyAlignment="1">
      <alignment horizontal="center"/>
    </xf>
    <xf numFmtId="0" fontId="1" fillId="2" borderId="43" xfId="0" applyFont="1" applyFill="1" applyBorder="1" applyAlignment="1">
      <alignment horizontal="center"/>
    </xf>
    <xf numFmtId="1" fontId="2" fillId="2" borderId="44" xfId="0" applyNumberFormat="1" applyFont="1" applyFill="1" applyBorder="1"/>
    <xf numFmtId="0" fontId="1" fillId="0" borderId="19" xfId="0" applyFont="1" applyBorder="1"/>
    <xf numFmtId="11" fontId="1" fillId="0" borderId="17" xfId="0" applyNumberFormat="1" applyFont="1" applyBorder="1"/>
    <xf numFmtId="164" fontId="1" fillId="0" borderId="17" xfId="0" applyNumberFormat="1" applyFont="1" applyBorder="1"/>
    <xf numFmtId="11" fontId="1" fillId="3" borderId="0" xfId="0" applyNumberFormat="1" applyFont="1" applyFill="1"/>
    <xf numFmtId="11" fontId="1" fillId="0" borderId="0" xfId="0" applyNumberFormat="1" applyFont="1"/>
    <xf numFmtId="2" fontId="1" fillId="0" borderId="0" xfId="0" applyNumberFormat="1" applyFont="1"/>
    <xf numFmtId="0" fontId="12" fillId="0" borderId="0" xfId="0" applyFont="1" applyAlignment="1">
      <alignment horizontal="center" vertical="center" wrapText="1"/>
    </xf>
    <xf numFmtId="0" fontId="0" fillId="0" borderId="0" xfId="0" applyAlignment="1">
      <alignment vertical="center" wrapText="1"/>
    </xf>
    <xf numFmtId="11" fontId="0" fillId="0" borderId="0" xfId="0" applyNumberFormat="1" applyAlignment="1">
      <alignment vertical="center" wrapText="1"/>
    </xf>
    <xf numFmtId="0" fontId="0" fillId="8" borderId="26" xfId="0" applyFill="1" applyBorder="1"/>
    <xf numFmtId="0" fontId="0" fillId="8" borderId="27" xfId="0" applyFill="1" applyBorder="1"/>
    <xf numFmtId="164" fontId="0" fillId="8" borderId="27" xfId="0" applyNumberFormat="1" applyFill="1" applyBorder="1"/>
    <xf numFmtId="2" fontId="0" fillId="8" borderId="27" xfId="0" applyNumberFormat="1" applyFill="1" applyBorder="1"/>
    <xf numFmtId="166" fontId="0" fillId="8" borderId="27" xfId="0" applyNumberFormat="1" applyFill="1" applyBorder="1"/>
    <xf numFmtId="2" fontId="0" fillId="8" borderId="32" xfId="0" applyNumberFormat="1" applyFill="1" applyBorder="1"/>
    <xf numFmtId="0" fontId="1" fillId="0" borderId="11" xfId="0" applyFont="1" applyBorder="1" applyAlignment="1">
      <alignment wrapText="1"/>
    </xf>
    <xf numFmtId="11" fontId="15" fillId="2" borderId="0" xfId="0" applyNumberFormat="1" applyFont="1" applyFill="1" applyAlignment="1">
      <alignment horizontal="center" wrapText="1"/>
    </xf>
    <xf numFmtId="0" fontId="2" fillId="2" borderId="10" xfId="0" applyFont="1" applyFill="1" applyBorder="1"/>
    <xf numFmtId="0" fontId="1" fillId="0" borderId="7" xfId="0" applyFont="1" applyBorder="1"/>
    <xf numFmtId="0" fontId="1" fillId="0" borderId="24" xfId="0" applyFont="1" applyBorder="1"/>
    <xf numFmtId="0" fontId="2" fillId="2" borderId="10" xfId="0" applyFont="1" applyFill="1" applyBorder="1" applyAlignment="1">
      <alignment wrapText="1"/>
    </xf>
    <xf numFmtId="0" fontId="1" fillId="0" borderId="24" xfId="0" applyFont="1" applyBorder="1" applyAlignment="1">
      <alignment wrapText="1"/>
    </xf>
    <xf numFmtId="166" fontId="1" fillId="0" borderId="0" xfId="0" applyNumberFormat="1" applyFont="1"/>
    <xf numFmtId="166" fontId="1" fillId="0" borderId="12" xfId="0" applyNumberFormat="1" applyFont="1" applyBorder="1" applyAlignment="1">
      <alignment horizontal="right"/>
    </xf>
    <xf numFmtId="166" fontId="2" fillId="2" borderId="9" xfId="0" applyNumberFormat="1" applyFont="1" applyFill="1" applyBorder="1" applyAlignment="1">
      <alignment horizontal="right"/>
    </xf>
    <xf numFmtId="166" fontId="1" fillId="0" borderId="0" xfId="0" applyNumberFormat="1" applyFont="1" applyAlignment="1">
      <alignment horizontal="right"/>
    </xf>
    <xf numFmtId="166" fontId="1" fillId="0" borderId="6" xfId="0" applyNumberFormat="1" applyFont="1" applyBorder="1" applyAlignment="1">
      <alignment horizontal="right"/>
    </xf>
    <xf numFmtId="166" fontId="15" fillId="2" borderId="9" xfId="0" applyNumberFormat="1" applyFont="1" applyFill="1" applyBorder="1" applyAlignment="1">
      <alignment horizontal="right" wrapText="1"/>
    </xf>
    <xf numFmtId="166" fontId="10" fillId="0" borderId="0" xfId="0" applyNumberFormat="1" applyFont="1" applyAlignment="1">
      <alignment horizontal="right"/>
    </xf>
    <xf numFmtId="166" fontId="2" fillId="2" borderId="0" xfId="0" applyNumberFormat="1" applyFont="1" applyFill="1" applyAlignment="1">
      <alignment horizontal="right"/>
    </xf>
    <xf numFmtId="166" fontId="15" fillId="2" borderId="0" xfId="0" applyNumberFormat="1" applyFont="1" applyFill="1" applyAlignment="1">
      <alignment horizontal="right" wrapText="1"/>
    </xf>
    <xf numFmtId="166" fontId="1" fillId="0" borderId="0" xfId="0" applyNumberFormat="1" applyFont="1" applyAlignment="1">
      <alignment horizontal="right" wrapText="1"/>
    </xf>
    <xf numFmtId="0" fontId="1" fillId="0" borderId="34" xfId="0" applyFont="1" applyBorder="1" applyAlignment="1">
      <alignment vertical="top" wrapText="1"/>
    </xf>
    <xf numFmtId="0" fontId="1" fillId="0" borderId="36" xfId="0" applyFont="1" applyBorder="1" applyAlignment="1">
      <alignment vertical="top" wrapText="1"/>
    </xf>
    <xf numFmtId="0" fontId="1" fillId="0" borderId="37" xfId="0" applyFont="1" applyBorder="1" applyAlignment="1">
      <alignment vertical="top" wrapText="1"/>
    </xf>
    <xf numFmtId="164" fontId="1" fillId="0" borderId="37" xfId="0" applyNumberFormat="1" applyFont="1" applyBorder="1" applyAlignment="1">
      <alignment vertical="top" wrapText="1"/>
    </xf>
    <xf numFmtId="0" fontId="1" fillId="0" borderId="38" xfId="0" applyFont="1" applyBorder="1" applyAlignment="1">
      <alignment vertical="top" wrapText="1"/>
    </xf>
    <xf numFmtId="0" fontId="1" fillId="0" borderId="48" xfId="0" applyFont="1" applyBorder="1" applyAlignment="1">
      <alignment vertical="top" wrapText="1"/>
    </xf>
    <xf numFmtId="0" fontId="11" fillId="0" borderId="3" xfId="0" applyFont="1" applyBorder="1"/>
    <xf numFmtId="0" fontId="11" fillId="0" borderId="1" xfId="0" applyFont="1" applyBorder="1" applyAlignment="1">
      <alignment horizontal="center"/>
    </xf>
    <xf numFmtId="0" fontId="11" fillId="0" borderId="5" xfId="0" applyFont="1" applyBorder="1" applyAlignment="1">
      <alignment horizontal="center"/>
    </xf>
    <xf numFmtId="165" fontId="11" fillId="0" borderId="8" xfId="0" applyNumberFormat="1" applyFont="1" applyBorder="1" applyAlignment="1">
      <alignment horizontal="center"/>
    </xf>
    <xf numFmtId="0" fontId="2" fillId="2" borderId="46" xfId="0" applyFont="1" applyFill="1" applyBorder="1"/>
    <xf numFmtId="11" fontId="1" fillId="0" borderId="11" xfId="0" applyNumberFormat="1" applyFont="1" applyBorder="1" applyAlignment="1">
      <alignment horizontal="center"/>
    </xf>
    <xf numFmtId="11" fontId="1" fillId="0" borderId="47" xfId="0" applyNumberFormat="1" applyFont="1" applyBorder="1" applyAlignment="1">
      <alignment horizontal="center"/>
    </xf>
    <xf numFmtId="0" fontId="1" fillId="2" borderId="46" xfId="0" applyFont="1" applyFill="1" applyBorder="1" applyAlignment="1">
      <alignment horizontal="center"/>
    </xf>
    <xf numFmtId="0" fontId="1" fillId="0" borderId="11" xfId="0" applyFont="1" applyBorder="1" applyAlignment="1">
      <alignment horizontal="center"/>
    </xf>
    <xf numFmtId="0" fontId="1" fillId="0" borderId="47" xfId="0" applyFont="1" applyBorder="1" applyAlignment="1">
      <alignment horizontal="center"/>
    </xf>
    <xf numFmtId="0" fontId="1" fillId="0" borderId="40" xfId="0" applyFont="1" applyBorder="1" applyAlignment="1">
      <alignment vertical="top" wrapText="1"/>
    </xf>
    <xf numFmtId="166" fontId="1" fillId="0" borderId="35" xfId="0" applyNumberFormat="1" applyFont="1" applyBorder="1" applyAlignment="1">
      <alignment horizontal="right" vertical="top" wrapText="1"/>
    </xf>
    <xf numFmtId="0" fontId="1" fillId="0" borderId="45" xfId="0" applyFont="1" applyBorder="1" applyAlignment="1">
      <alignment vertical="top" wrapText="1"/>
    </xf>
    <xf numFmtId="0" fontId="1" fillId="0" borderId="8" xfId="0" applyFont="1" applyBorder="1"/>
    <xf numFmtId="166" fontId="1" fillId="0" borderId="1" xfId="0" applyNumberFormat="1" applyFont="1" applyBorder="1" applyAlignment="1">
      <alignment horizontal="right"/>
    </xf>
    <xf numFmtId="0" fontId="1" fillId="0" borderId="39" xfId="0" applyFont="1" applyBorder="1" applyAlignment="1">
      <alignment horizontal="center"/>
    </xf>
    <xf numFmtId="0" fontId="2" fillId="2" borderId="11" xfId="0" applyFont="1" applyFill="1" applyBorder="1"/>
    <xf numFmtId="0" fontId="1" fillId="2" borderId="11" xfId="0" applyFont="1" applyFill="1" applyBorder="1" applyAlignment="1">
      <alignment horizontal="center"/>
    </xf>
    <xf numFmtId="166" fontId="1" fillId="0" borderId="36" xfId="0" applyNumberFormat="1" applyFont="1" applyBorder="1" applyAlignment="1">
      <alignment horizontal="right" vertical="top" wrapText="1"/>
    </xf>
    <xf numFmtId="0" fontId="1" fillId="0" borderId="39" xfId="0" applyFont="1" applyBorder="1"/>
    <xf numFmtId="11" fontId="1" fillId="0" borderId="39" xfId="0" applyNumberFormat="1" applyFont="1" applyBorder="1" applyAlignment="1">
      <alignment horizontal="center"/>
    </xf>
    <xf numFmtId="2" fontId="0" fillId="0" borderId="0" xfId="0" applyNumberFormat="1"/>
    <xf numFmtId="1" fontId="2" fillId="2" borderId="42" xfId="0" applyNumberFormat="1" applyFont="1" applyFill="1" applyBorder="1"/>
    <xf numFmtId="165" fontId="1" fillId="2" borderId="7" xfId="0" applyNumberFormat="1" applyFont="1" applyFill="1" applyBorder="1" applyAlignment="1">
      <alignment horizontal="center"/>
    </xf>
    <xf numFmtId="1" fontId="1" fillId="2" borderId="8" xfId="0" applyNumberFormat="1" applyFont="1" applyFill="1" applyBorder="1" applyAlignment="1">
      <alignment horizontal="center"/>
    </xf>
    <xf numFmtId="0" fontId="1" fillId="0" borderId="35" xfId="0" applyFont="1" applyBorder="1" applyAlignment="1">
      <alignment vertical="top" wrapText="1"/>
    </xf>
    <xf numFmtId="1" fontId="1" fillId="0" borderId="34" xfId="0" applyNumberFormat="1" applyFont="1" applyBorder="1" applyAlignment="1">
      <alignment horizontal="center"/>
    </xf>
    <xf numFmtId="1" fontId="2" fillId="2" borderId="40" xfId="0" applyNumberFormat="1" applyFont="1" applyFill="1" applyBorder="1"/>
    <xf numFmtId="1" fontId="1" fillId="2" borderId="2" xfId="0" applyNumberFormat="1" applyFont="1" applyFill="1" applyBorder="1" applyAlignment="1">
      <alignment horizontal="center"/>
    </xf>
    <xf numFmtId="1" fontId="11" fillId="0" borderId="3" xfId="0" applyNumberFormat="1" applyFont="1" applyBorder="1" applyAlignment="1">
      <alignment horizontal="center"/>
    </xf>
    <xf numFmtId="1" fontId="1" fillId="0" borderId="34" xfId="0" applyNumberFormat="1" applyFont="1" applyBorder="1" applyAlignment="1">
      <alignment vertical="top" wrapText="1"/>
    </xf>
    <xf numFmtId="1" fontId="1" fillId="2" borderId="7" xfId="0" applyNumberFormat="1" applyFont="1" applyFill="1" applyBorder="1" applyAlignment="1">
      <alignment horizontal="center"/>
    </xf>
    <xf numFmtId="1" fontId="1" fillId="3" borderId="2" xfId="0" applyNumberFormat="1" applyFont="1" applyFill="1" applyBorder="1" applyAlignment="1">
      <alignment horizontal="center"/>
    </xf>
    <xf numFmtId="2" fontId="1" fillId="3" borderId="33" xfId="0" applyNumberFormat="1" applyFont="1" applyFill="1" applyBorder="1" applyAlignment="1">
      <alignment horizontal="center"/>
    </xf>
    <xf numFmtId="11" fontId="1" fillId="3" borderId="0" xfId="0" applyNumberFormat="1" applyFont="1" applyFill="1" applyAlignment="1">
      <alignment horizontal="center"/>
    </xf>
    <xf numFmtId="165" fontId="1" fillId="3" borderId="7" xfId="0" applyNumberFormat="1" applyFont="1" applyFill="1" applyBorder="1" applyAlignment="1">
      <alignment horizontal="center"/>
    </xf>
    <xf numFmtId="0" fontId="1" fillId="2" borderId="5" xfId="0" applyFont="1" applyFill="1" applyBorder="1" applyAlignment="1">
      <alignment horizontal="center"/>
    </xf>
    <xf numFmtId="0" fontId="1" fillId="2" borderId="1" xfId="0" applyFont="1" applyFill="1" applyBorder="1" applyAlignment="1">
      <alignment horizontal="center"/>
    </xf>
    <xf numFmtId="164" fontId="1" fillId="2" borderId="5" xfId="0" applyNumberFormat="1" applyFont="1" applyFill="1" applyBorder="1" applyAlignment="1">
      <alignment horizontal="center"/>
    </xf>
    <xf numFmtId="0" fontId="1" fillId="2" borderId="8" xfId="0" applyFont="1" applyFill="1" applyBorder="1" applyAlignment="1">
      <alignment horizontal="center"/>
    </xf>
    <xf numFmtId="0" fontId="2" fillId="2" borderId="0" xfId="0" applyFont="1" applyFill="1" applyAlignment="1">
      <alignment horizontal="center"/>
    </xf>
    <xf numFmtId="0" fontId="1" fillId="0" borderId="36" xfId="0" applyFont="1" applyBorder="1" applyAlignment="1">
      <alignment horizontal="center" vertical="top" wrapText="1"/>
    </xf>
    <xf numFmtId="0" fontId="3" fillId="0" borderId="0" xfId="0" applyFont="1" applyAlignment="1">
      <alignment horizontal="center"/>
    </xf>
    <xf numFmtId="0" fontId="1" fillId="0" borderId="14" xfId="0" applyFont="1" applyBorder="1" applyAlignment="1">
      <alignment horizontal="center" wrapText="1"/>
    </xf>
    <xf numFmtId="0" fontId="1" fillId="0" borderId="0" xfId="0" applyFont="1" applyAlignment="1">
      <alignment horizontal="center" wrapText="1"/>
    </xf>
    <xf numFmtId="0" fontId="11" fillId="0" borderId="0" xfId="0" applyFont="1"/>
    <xf numFmtId="164" fontId="11" fillId="0" borderId="0" xfId="0" applyNumberFormat="1" applyFont="1" applyAlignment="1">
      <alignment horizontal="center"/>
    </xf>
    <xf numFmtId="165" fontId="11" fillId="0" borderId="0" xfId="0" applyNumberFormat="1" applyFont="1" applyAlignment="1">
      <alignment horizontal="center"/>
    </xf>
    <xf numFmtId="1" fontId="11" fillId="0" borderId="0" xfId="0" applyNumberFormat="1" applyFont="1" applyAlignment="1">
      <alignment horizontal="center"/>
    </xf>
    <xf numFmtId="0" fontId="1" fillId="0" borderId="49" xfId="0" applyFont="1" applyBorder="1" applyAlignment="1">
      <alignment horizontal="center"/>
    </xf>
    <xf numFmtId="2" fontId="2" fillId="2" borderId="0" xfId="0" applyNumberFormat="1" applyFont="1" applyFill="1" applyAlignment="1">
      <alignment horizontal="center"/>
    </xf>
    <xf numFmtId="2" fontId="2" fillId="2" borderId="33" xfId="0" applyNumberFormat="1" applyFont="1" applyFill="1" applyBorder="1" applyAlignment="1">
      <alignment horizontal="center"/>
    </xf>
    <xf numFmtId="2" fontId="11" fillId="0" borderId="1" xfId="0" applyNumberFormat="1" applyFont="1" applyBorder="1" applyAlignment="1">
      <alignment horizontal="center"/>
    </xf>
    <xf numFmtId="2" fontId="2" fillId="2" borderId="43" xfId="0" applyNumberFormat="1" applyFont="1" applyFill="1" applyBorder="1" applyAlignment="1">
      <alignment horizontal="center"/>
    </xf>
    <xf numFmtId="169" fontId="1" fillId="9" borderId="0" xfId="0" applyNumberFormat="1" applyFont="1" applyFill="1" applyAlignment="1">
      <alignment horizontal="center"/>
    </xf>
    <xf numFmtId="0" fontId="1" fillId="9" borderId="0" xfId="0" applyFont="1" applyFill="1" applyAlignment="1">
      <alignment horizontal="center"/>
    </xf>
    <xf numFmtId="11" fontId="1" fillId="9" borderId="0" xfId="0" applyNumberFormat="1" applyFont="1" applyFill="1" applyAlignment="1">
      <alignment horizontal="center"/>
    </xf>
    <xf numFmtId="2" fontId="10" fillId="0" borderId="18" xfId="0" applyNumberFormat="1" applyFont="1" applyBorder="1" applyAlignment="1">
      <alignment horizontal="center"/>
    </xf>
    <xf numFmtId="0" fontId="1" fillId="2" borderId="18" xfId="0" applyFont="1" applyFill="1" applyBorder="1" applyAlignment="1">
      <alignment horizontal="center"/>
    </xf>
    <xf numFmtId="164" fontId="1" fillId="2" borderId="18" xfId="0" applyNumberFormat="1" applyFont="1" applyFill="1" applyBorder="1" applyAlignment="1">
      <alignment horizontal="center"/>
    </xf>
    <xf numFmtId="0" fontId="1" fillId="0" borderId="18" xfId="0" applyFont="1" applyBorder="1" applyAlignment="1">
      <alignment horizontal="center"/>
    </xf>
    <xf numFmtId="0" fontId="11" fillId="0" borderId="28" xfId="0" applyFont="1" applyBorder="1" applyAlignment="1">
      <alignment horizontal="center"/>
    </xf>
    <xf numFmtId="164" fontId="11" fillId="0" borderId="28" xfId="0" applyNumberFormat="1" applyFont="1" applyBorder="1" applyAlignment="1">
      <alignment horizontal="center"/>
    </xf>
    <xf numFmtId="0" fontId="1" fillId="10" borderId="0" xfId="0" applyFont="1" applyFill="1"/>
    <xf numFmtId="166" fontId="1" fillId="10" borderId="6" xfId="0" applyNumberFormat="1" applyFont="1" applyFill="1" applyBorder="1" applyAlignment="1">
      <alignment horizontal="right"/>
    </xf>
    <xf numFmtId="0" fontId="1" fillId="4" borderId="0" xfId="0" applyFont="1" applyFill="1"/>
    <xf numFmtId="0" fontId="1" fillId="11" borderId="0" xfId="0" applyFont="1" applyFill="1" applyAlignment="1">
      <alignment horizontal="center"/>
    </xf>
    <xf numFmtId="11" fontId="1" fillId="0" borderId="0" xfId="0" applyNumberFormat="1" applyFont="1" applyAlignment="1">
      <alignment horizontal="right"/>
    </xf>
    <xf numFmtId="1" fontId="1" fillId="0" borderId="18" xfId="0" applyNumberFormat="1" applyFont="1" applyBorder="1" applyAlignment="1">
      <alignment horizontal="center"/>
    </xf>
    <xf numFmtId="0" fontId="1" fillId="0" borderId="33" xfId="0" applyFont="1" applyBorder="1"/>
    <xf numFmtId="0" fontId="0" fillId="5" borderId="17" xfId="0" applyFill="1" applyBorder="1"/>
    <xf numFmtId="0" fontId="0" fillId="5" borderId="12" xfId="0" applyFill="1" applyBorder="1"/>
    <xf numFmtId="164" fontId="0" fillId="5" borderId="12" xfId="0" applyNumberFormat="1" applyFill="1" applyBorder="1"/>
    <xf numFmtId="2" fontId="0" fillId="5" borderId="17" xfId="0" applyNumberFormat="1" applyFill="1" applyBorder="1"/>
    <xf numFmtId="0" fontId="0" fillId="0" borderId="17" xfId="0" applyBorder="1"/>
    <xf numFmtId="0" fontId="1" fillId="0" borderId="17" xfId="0" applyFont="1" applyBorder="1" applyAlignment="1">
      <alignment vertical="top" wrapText="1"/>
    </xf>
    <xf numFmtId="0" fontId="1" fillId="0" borderId="14" xfId="0" applyFont="1" applyBorder="1"/>
    <xf numFmtId="164" fontId="1" fillId="0" borderId="15" xfId="0" applyNumberFormat="1" applyFont="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vertical="top" wrapText="1"/>
    </xf>
    <xf numFmtId="0" fontId="1" fillId="0" borderId="12" xfId="0" applyFont="1" applyBorder="1" applyAlignment="1">
      <alignment horizontal="center" vertical="top" wrapText="1"/>
    </xf>
    <xf numFmtId="164" fontId="1" fillId="3" borderId="18" xfId="0" applyNumberFormat="1" applyFont="1" applyFill="1" applyBorder="1" applyAlignment="1">
      <alignment horizontal="center"/>
    </xf>
    <xf numFmtId="169" fontId="1" fillId="0" borderId="18" xfId="0" applyNumberFormat="1" applyFont="1" applyBorder="1" applyAlignment="1">
      <alignment horizontal="center"/>
    </xf>
    <xf numFmtId="2" fontId="1" fillId="0" borderId="12" xfId="0" applyNumberFormat="1" applyFont="1" applyBorder="1" applyAlignment="1">
      <alignment horizontal="center"/>
    </xf>
    <xf numFmtId="164" fontId="1" fillId="0" borderId="12" xfId="0" applyNumberFormat="1" applyFont="1" applyBorder="1"/>
    <xf numFmtId="165" fontId="1" fillId="0" borderId="12" xfId="0" applyNumberFormat="1" applyFont="1" applyBorder="1"/>
    <xf numFmtId="164" fontId="1" fillId="0" borderId="12" xfId="0" applyNumberFormat="1" applyFont="1" applyBorder="1" applyAlignment="1">
      <alignment vertical="top" wrapText="1"/>
    </xf>
    <xf numFmtId="165" fontId="1" fillId="0" borderId="12" xfId="0" applyNumberFormat="1" applyFont="1" applyBorder="1" applyAlignment="1">
      <alignment vertical="top" wrapText="1"/>
    </xf>
    <xf numFmtId="0" fontId="2" fillId="2" borderId="12" xfId="0" applyFont="1" applyFill="1" applyBorder="1"/>
    <xf numFmtId="0" fontId="2" fillId="2" borderId="12" xfId="0" applyFont="1" applyFill="1" applyBorder="1" applyAlignment="1">
      <alignment horizontal="center"/>
    </xf>
    <xf numFmtId="2" fontId="2" fillId="2" borderId="12" xfId="0" applyNumberFormat="1" applyFont="1" applyFill="1" applyBorder="1" applyAlignment="1">
      <alignment horizontal="center"/>
    </xf>
    <xf numFmtId="164" fontId="2" fillId="2" borderId="12" xfId="0" applyNumberFormat="1" applyFont="1" applyFill="1" applyBorder="1"/>
    <xf numFmtId="165" fontId="2" fillId="2" borderId="12" xfId="0" applyNumberFormat="1" applyFont="1" applyFill="1" applyBorder="1"/>
    <xf numFmtId="11" fontId="1" fillId="0" borderId="12" xfId="0" applyNumberFormat="1" applyFont="1" applyBorder="1" applyAlignment="1">
      <alignment horizontal="center"/>
    </xf>
    <xf numFmtId="165" fontId="1" fillId="0" borderId="12" xfId="0" applyNumberFormat="1" applyFont="1" applyBorder="1" applyAlignment="1">
      <alignment horizontal="center"/>
    </xf>
    <xf numFmtId="0" fontId="1" fillId="2" borderId="12" xfId="0" applyFont="1" applyFill="1" applyBorder="1" applyAlignment="1">
      <alignment horizontal="center"/>
    </xf>
    <xf numFmtId="164" fontId="1" fillId="2" borderId="12" xfId="0" applyNumberFormat="1" applyFont="1" applyFill="1" applyBorder="1" applyAlignment="1">
      <alignment horizontal="center"/>
    </xf>
    <xf numFmtId="165" fontId="1" fillId="2" borderId="12" xfId="0" applyNumberFormat="1" applyFont="1" applyFill="1" applyBorder="1" applyAlignment="1">
      <alignment horizontal="center"/>
    </xf>
    <xf numFmtId="164" fontId="1" fillId="0" borderId="12" xfId="0" applyNumberFormat="1" applyFont="1" applyBorder="1" applyAlignment="1">
      <alignment horizontal="center"/>
    </xf>
    <xf numFmtId="0" fontId="1" fillId="3" borderId="12" xfId="0" applyFont="1" applyFill="1" applyBorder="1" applyAlignment="1">
      <alignment horizontal="center"/>
    </xf>
    <xf numFmtId="0" fontId="1" fillId="9" borderId="12" xfId="0" applyFont="1" applyFill="1" applyBorder="1" applyAlignment="1">
      <alignment horizontal="center"/>
    </xf>
    <xf numFmtId="11" fontId="1" fillId="9" borderId="12" xfId="0" applyNumberFormat="1" applyFont="1" applyFill="1" applyBorder="1" applyAlignment="1">
      <alignment horizontal="center"/>
    </xf>
    <xf numFmtId="2" fontId="10" fillId="0" borderId="12" xfId="0" applyNumberFormat="1" applyFont="1" applyBorder="1" applyAlignment="1">
      <alignment horizontal="center"/>
    </xf>
    <xf numFmtId="165" fontId="10" fillId="0" borderId="12" xfId="0" applyNumberFormat="1" applyFont="1" applyBorder="1" applyAlignment="1">
      <alignment horizontal="center"/>
    </xf>
    <xf numFmtId="0" fontId="1" fillId="0" borderId="12" xfId="0" quotePrefix="1" applyFont="1" applyBorder="1" applyAlignment="1">
      <alignment horizontal="center"/>
    </xf>
    <xf numFmtId="164" fontId="3" fillId="0" borderId="12" xfId="0" applyNumberFormat="1" applyFont="1" applyBorder="1" applyAlignment="1">
      <alignment horizontal="center"/>
    </xf>
    <xf numFmtId="0" fontId="11" fillId="0" borderId="12" xfId="0" applyFont="1" applyBorder="1"/>
    <xf numFmtId="0" fontId="11" fillId="0" borderId="12" xfId="0" applyFont="1" applyBorder="1" applyAlignment="1">
      <alignment horizontal="center"/>
    </xf>
    <xf numFmtId="2" fontId="11" fillId="0" borderId="12" xfId="0" applyNumberFormat="1" applyFont="1" applyBorder="1" applyAlignment="1">
      <alignment horizontal="center"/>
    </xf>
    <xf numFmtId="164" fontId="11" fillId="0" borderId="12" xfId="0" applyNumberFormat="1" applyFont="1" applyBorder="1" applyAlignment="1">
      <alignment horizontal="center"/>
    </xf>
    <xf numFmtId="165" fontId="11" fillId="0" borderId="12" xfId="0" applyNumberFormat="1" applyFont="1" applyBorder="1" applyAlignment="1">
      <alignment horizontal="center"/>
    </xf>
    <xf numFmtId="1" fontId="1" fillId="0" borderId="12" xfId="0" applyNumberFormat="1" applyFont="1" applyBorder="1" applyAlignment="1">
      <alignment horizontal="center"/>
    </xf>
    <xf numFmtId="1" fontId="2" fillId="2" borderId="12" xfId="0" applyNumberFormat="1" applyFont="1" applyFill="1" applyBorder="1" applyAlignment="1">
      <alignment horizontal="center"/>
    </xf>
    <xf numFmtId="169" fontId="1" fillId="9" borderId="12" xfId="0" applyNumberFormat="1" applyFont="1" applyFill="1" applyBorder="1" applyAlignment="1">
      <alignment horizontal="center"/>
    </xf>
    <xf numFmtId="0" fontId="1" fillId="9" borderId="12" xfId="0" applyFont="1" applyFill="1" applyBorder="1"/>
    <xf numFmtId="2" fontId="1" fillId="9" borderId="12" xfId="0" applyNumberFormat="1" applyFont="1" applyFill="1" applyBorder="1" applyAlignment="1">
      <alignment horizontal="center"/>
    </xf>
    <xf numFmtId="164" fontId="1" fillId="9" borderId="12" xfId="0" applyNumberFormat="1" applyFont="1" applyFill="1" applyBorder="1" applyAlignment="1">
      <alignment horizontal="center"/>
    </xf>
    <xf numFmtId="165" fontId="1" fillId="9" borderId="12" xfId="0" applyNumberFormat="1" applyFont="1" applyFill="1" applyBorder="1" applyAlignment="1">
      <alignment horizontal="center"/>
    </xf>
    <xf numFmtId="0" fontId="1" fillId="0" borderId="0" xfId="0" applyFont="1" applyAlignment="1">
      <alignment wrapText="1"/>
    </xf>
    <xf numFmtId="0" fontId="0" fillId="0" borderId="0" xfId="0" applyAlignment="1">
      <alignment wrapText="1"/>
    </xf>
    <xf numFmtId="0" fontId="1" fillId="0" borderId="6" xfId="0" applyFont="1" applyBorder="1"/>
    <xf numFmtId="0" fontId="0" fillId="0" borderId="6" xfId="0" applyBorder="1"/>
    <xf numFmtId="0" fontId="1" fillId="0" borderId="14" xfId="0" applyFont="1" applyBorder="1" applyAlignment="1">
      <alignment wrapText="1"/>
    </xf>
    <xf numFmtId="0" fontId="0" fillId="0" borderId="15" xfId="0" applyBorder="1" applyAlignment="1">
      <alignment wrapText="1"/>
    </xf>
    <xf numFmtId="0" fontId="0" fillId="0" borderId="16" xfId="0" applyBorder="1" applyAlignment="1">
      <alignment wrapText="1"/>
    </xf>
  </cellXfs>
  <cellStyles count="3">
    <cellStyle name="ecoinvent 1" xfId="2" xr:uid="{00000000-0005-0000-0000-000000000000}"/>
    <cellStyle name="Hyperlink 2" xfId="1" xr:uid="{00000000-0005-0000-0000-000001000000}"/>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Comparison of non-renewable primary energy</a:t>
            </a:r>
          </a:p>
        </c:rich>
      </c:tx>
      <c:layout>
        <c:manualLayout>
          <c:xMode val="edge"/>
          <c:yMode val="edge"/>
          <c:x val="0.3459255439011083"/>
          <c:y val="2.682073778336393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191226096737907"/>
          <c:y val="8.5538003514023561E-2"/>
          <c:w val="0.8049463067116609"/>
          <c:h val="0.62405090634331861"/>
        </c:manualLayout>
      </c:layout>
      <c:barChart>
        <c:barDir val="col"/>
        <c:grouping val="stacked"/>
        <c:varyColors val="0"/>
        <c:ser>
          <c:idx val="0"/>
          <c:order val="0"/>
          <c:tx>
            <c:strRef>
              <c:f>'Gasoline and electric vehicles'!$P$6</c:f>
              <c:strCache>
                <c:ptCount val="1"/>
                <c:pt idx="0">
                  <c:v>Car manufacturing</c:v>
                </c:pt>
              </c:strCache>
            </c:strRef>
          </c:tx>
          <c:spPr>
            <a:solidFill>
              <a:schemeClr val="accent1"/>
            </a:solidFill>
            <a:ln>
              <a:noFill/>
            </a:ln>
            <a:effectLst/>
          </c:spPr>
          <c:invertIfNegative val="0"/>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vehicles'!$Q$6:$U$6</c:f>
              <c:numCache>
                <c:formatCode>0.000</c:formatCode>
                <c:ptCount val="5"/>
                <c:pt idx="0">
                  <c:v>0.60021733235266306</c:v>
                </c:pt>
                <c:pt idx="1">
                  <c:v>0.57011251306751931</c:v>
                </c:pt>
                <c:pt idx="2">
                  <c:v>0.57011251306751931</c:v>
                </c:pt>
                <c:pt idx="3">
                  <c:v>0.57011251306751931</c:v>
                </c:pt>
                <c:pt idx="4">
                  <c:v>0.57011251306751931</c:v>
                </c:pt>
              </c:numCache>
            </c:numRef>
          </c:val>
          <c:extLst>
            <c:ext xmlns:c16="http://schemas.microsoft.com/office/drawing/2014/chart" uri="{C3380CC4-5D6E-409C-BE32-E72D297353CC}">
              <c16:uniqueId val="{00000000-E99F-4665-AB87-81CDB0B17A30}"/>
            </c:ext>
          </c:extLst>
        </c:ser>
        <c:ser>
          <c:idx val="1"/>
          <c:order val="1"/>
          <c:tx>
            <c:strRef>
              <c:f>'Gasoline and electric vehicles'!$P$7</c:f>
              <c:strCache>
                <c:ptCount val="1"/>
                <c:pt idx="0">
                  <c:v>Car transportation</c:v>
                </c:pt>
              </c:strCache>
            </c:strRef>
          </c:tx>
          <c:spPr>
            <a:solidFill>
              <a:schemeClr val="accent2"/>
            </a:solidFill>
            <a:ln>
              <a:noFill/>
            </a:ln>
            <a:effectLst/>
          </c:spPr>
          <c:invertIfNegative val="0"/>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vehicles'!$Q$7:$U$7</c:f>
              <c:numCache>
                <c:formatCode>0.000</c:formatCode>
                <c:ptCount val="5"/>
                <c:pt idx="0">
                  <c:v>1.2538957193913694E-2</c:v>
                </c:pt>
                <c:pt idx="1">
                  <c:v>7.8671987179769198E-3</c:v>
                </c:pt>
                <c:pt idx="2">
                  <c:v>7.8671987179769198E-3</c:v>
                </c:pt>
                <c:pt idx="3">
                  <c:v>7.8671987179769198E-3</c:v>
                </c:pt>
                <c:pt idx="4">
                  <c:v>7.8671987179769198E-3</c:v>
                </c:pt>
              </c:numCache>
            </c:numRef>
          </c:val>
          <c:extLst>
            <c:ext xmlns:c16="http://schemas.microsoft.com/office/drawing/2014/chart" uri="{C3380CC4-5D6E-409C-BE32-E72D297353CC}">
              <c16:uniqueId val="{00000001-E99F-4665-AB87-81CDB0B17A30}"/>
            </c:ext>
          </c:extLst>
        </c:ser>
        <c:ser>
          <c:idx val="2"/>
          <c:order val="2"/>
          <c:tx>
            <c:strRef>
              <c:f>'Gasoline and electric vehicles'!$P$8</c:f>
              <c:strCache>
                <c:ptCount val="1"/>
                <c:pt idx="0">
                  <c:v>Car disposal</c:v>
                </c:pt>
              </c:strCache>
            </c:strRef>
          </c:tx>
          <c:spPr>
            <a:solidFill>
              <a:schemeClr val="accent3"/>
            </a:solidFill>
            <a:ln>
              <a:noFill/>
            </a:ln>
            <a:effectLst/>
          </c:spPr>
          <c:invertIfNegative val="0"/>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vehicles'!$Q$8:$U$8</c:f>
              <c:numCache>
                <c:formatCode>0.0000</c:formatCode>
                <c:ptCount val="5"/>
                <c:pt idx="0">
                  <c:v>4.0019259270454729E-4</c:v>
                </c:pt>
                <c:pt idx="1">
                  <c:v>2.3611308128634932E-4</c:v>
                </c:pt>
                <c:pt idx="2">
                  <c:v>2.3611308128634932E-4</c:v>
                </c:pt>
                <c:pt idx="3">
                  <c:v>2.3611308128634932E-4</c:v>
                </c:pt>
                <c:pt idx="4">
                  <c:v>2.3611308128634932E-4</c:v>
                </c:pt>
              </c:numCache>
            </c:numRef>
          </c:val>
          <c:extLst>
            <c:ext xmlns:c16="http://schemas.microsoft.com/office/drawing/2014/chart" uri="{C3380CC4-5D6E-409C-BE32-E72D297353CC}">
              <c16:uniqueId val="{00000002-E99F-4665-AB87-81CDB0B17A30}"/>
            </c:ext>
          </c:extLst>
        </c:ser>
        <c:ser>
          <c:idx val="5"/>
          <c:order val="3"/>
          <c:tx>
            <c:strRef>
              <c:f>'Gasoline and electric vehicles'!$P$9</c:f>
              <c:strCache>
                <c:ptCount val="1"/>
                <c:pt idx="0">
                  <c:v>Petrol gas </c:v>
                </c:pt>
              </c:strCache>
            </c:strRef>
          </c:tx>
          <c:spPr>
            <a:solidFill>
              <a:schemeClr val="accent6"/>
            </a:solidFill>
            <a:ln>
              <a:noFill/>
            </a:ln>
            <a:effectLst/>
          </c:spPr>
          <c:invertIfNegative val="0"/>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vehicles'!$Q$9:$U$9</c:f>
              <c:numCache>
                <c:formatCode>0.000</c:formatCode>
                <c:ptCount val="5"/>
                <c:pt idx="0">
                  <c:v>3.3676643136561903</c:v>
                </c:pt>
              </c:numCache>
            </c:numRef>
          </c:val>
          <c:extLst>
            <c:ext xmlns:c16="http://schemas.microsoft.com/office/drawing/2014/chart" uri="{C3380CC4-5D6E-409C-BE32-E72D297353CC}">
              <c16:uniqueId val="{00000005-E99F-4665-AB87-81CDB0B17A30}"/>
            </c:ext>
          </c:extLst>
        </c:ser>
        <c:ser>
          <c:idx val="6"/>
          <c:order val="4"/>
          <c:tx>
            <c:strRef>
              <c:f>'Gasoline and electric vehicles'!$P$10</c:f>
              <c:strCache>
                <c:ptCount val="1"/>
                <c:pt idx="0">
                  <c:v>Electric charging - RER</c:v>
                </c:pt>
              </c:strCache>
            </c:strRef>
          </c:tx>
          <c:spPr>
            <a:solidFill>
              <a:schemeClr val="accent1">
                <a:lumMod val="60000"/>
              </a:schemeClr>
            </a:solidFill>
            <a:ln>
              <a:noFill/>
            </a:ln>
            <a:effectLst/>
          </c:spPr>
          <c:invertIfNegative val="0"/>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vehicles'!$Q$10:$U$10</c:f>
              <c:numCache>
                <c:formatCode>0.00</c:formatCode>
                <c:ptCount val="5"/>
                <c:pt idx="1">
                  <c:v>2.3577678925736003</c:v>
                </c:pt>
              </c:numCache>
            </c:numRef>
          </c:val>
          <c:extLst>
            <c:ext xmlns:c16="http://schemas.microsoft.com/office/drawing/2014/chart" uri="{C3380CC4-5D6E-409C-BE32-E72D297353CC}">
              <c16:uniqueId val="{00000006-E99F-4665-AB87-81CDB0B17A30}"/>
            </c:ext>
          </c:extLst>
        </c:ser>
        <c:ser>
          <c:idx val="7"/>
          <c:order val="5"/>
          <c:tx>
            <c:strRef>
              <c:f>'Gasoline and electric vehicles'!$P$11</c:f>
              <c:strCache>
                <c:ptCount val="1"/>
                <c:pt idx="0">
                  <c:v>Electric charging - wind</c:v>
                </c:pt>
              </c:strCache>
            </c:strRef>
          </c:tx>
          <c:spPr>
            <a:solidFill>
              <a:schemeClr val="accent2">
                <a:lumMod val="60000"/>
              </a:schemeClr>
            </a:solidFill>
            <a:ln w="25400">
              <a:noFill/>
            </a:ln>
            <a:effectLst/>
          </c:spPr>
          <c:invertIfNegative val="0"/>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vehicles'!$Q$11:$U$11</c:f>
              <c:numCache>
                <c:formatCode>0.00</c:formatCode>
                <c:ptCount val="5"/>
                <c:pt idx="2">
                  <c:v>5.07162009939E-2</c:v>
                </c:pt>
              </c:numCache>
            </c:numRef>
          </c:val>
          <c:extLst>
            <c:ext xmlns:c16="http://schemas.microsoft.com/office/drawing/2014/chart" uri="{C3380CC4-5D6E-409C-BE32-E72D297353CC}">
              <c16:uniqueId val="{00000007-E99F-4665-AB87-81CDB0B17A30}"/>
            </c:ext>
          </c:extLst>
        </c:ser>
        <c:ser>
          <c:idx val="3"/>
          <c:order val="6"/>
          <c:tx>
            <c:strRef>
              <c:f>'Gasoline and electric vehicles'!$P$12</c:f>
              <c:strCache>
                <c:ptCount val="1"/>
                <c:pt idx="0">
                  <c:v>Electric charging - photovoltaic</c:v>
                </c:pt>
              </c:strCache>
            </c:strRef>
          </c:tx>
          <c:spPr>
            <a:solidFill>
              <a:schemeClr val="accent4"/>
            </a:solidFill>
            <a:ln w="25400">
              <a:noFill/>
            </a:ln>
            <a:effectLst/>
          </c:spPr>
          <c:invertIfNegative val="0"/>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vehicles'!$Q$12:$U$12</c:f>
              <c:numCache>
                <c:formatCode>0.00</c:formatCode>
                <c:ptCount val="5"/>
                <c:pt idx="3">
                  <c:v>0.26680557414420003</c:v>
                </c:pt>
              </c:numCache>
            </c:numRef>
          </c:val>
          <c:extLst>
            <c:ext xmlns:c16="http://schemas.microsoft.com/office/drawing/2014/chart" uri="{C3380CC4-5D6E-409C-BE32-E72D297353CC}">
              <c16:uniqueId val="{00000000-BF2F-46D5-91B2-6E9DC20E9263}"/>
            </c:ext>
          </c:extLst>
        </c:ser>
        <c:ser>
          <c:idx val="4"/>
          <c:order val="7"/>
          <c:tx>
            <c:strRef>
              <c:f>'Gasoline and electric vehicles'!$P$13</c:f>
              <c:strCache>
                <c:ptCount val="1"/>
                <c:pt idx="0">
                  <c:v>Electric charging - hard coal</c:v>
                </c:pt>
              </c:strCache>
            </c:strRef>
          </c:tx>
          <c:spPr>
            <a:solidFill>
              <a:schemeClr val="accent5"/>
            </a:solidFill>
            <a:ln>
              <a:noFill/>
            </a:ln>
            <a:effectLst/>
          </c:spPr>
          <c:invertIfNegative val="0"/>
          <c:cat>
            <c:strRef>
              <c:f>'Gasoline and electric vehicles'!$Q$5:$U$5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vehicles'!$Q$13:$U$13</c:f>
              <c:numCache>
                <c:formatCode>0.00</c:formatCode>
                <c:ptCount val="5"/>
                <c:pt idx="4">
                  <c:v>2.6881507061032002</c:v>
                </c:pt>
              </c:numCache>
            </c:numRef>
          </c:val>
          <c:extLst>
            <c:ext xmlns:c16="http://schemas.microsoft.com/office/drawing/2014/chart" uri="{C3380CC4-5D6E-409C-BE32-E72D297353CC}">
              <c16:uniqueId val="{00000000-2427-4B0B-B78C-E1CE8C9FDE5B}"/>
            </c:ext>
          </c:extLst>
        </c:ser>
        <c:dLbls>
          <c:showLegendKey val="0"/>
          <c:showVal val="0"/>
          <c:showCatName val="0"/>
          <c:showSerName val="0"/>
          <c:showPercent val="0"/>
          <c:showBubbleSize val="0"/>
        </c:dLbls>
        <c:gapWidth val="150"/>
        <c:overlap val="100"/>
        <c:axId val="1003427504"/>
        <c:axId val="1272768928"/>
      </c:barChart>
      <c:catAx>
        <c:axId val="100342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272768928"/>
        <c:crossesAt val="-5.000000000000001E-2"/>
        <c:auto val="1"/>
        <c:lblAlgn val="ctr"/>
        <c:lblOffset val="100"/>
        <c:noMultiLvlLbl val="0"/>
      </c:catAx>
      <c:valAx>
        <c:axId val="1272768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r>
                  <a:rPr lang="en-US" sz="2400"/>
                  <a:t>primary energy [MJ/FU]</a:t>
                </a:r>
              </a:p>
            </c:rich>
          </c:tx>
          <c:layout>
            <c:manualLayout>
              <c:xMode val="edge"/>
              <c:yMode val="edge"/>
              <c:x val="2.903989501312336E-2"/>
              <c:y val="0.25130619003203114"/>
            </c:manualLayout>
          </c:layout>
          <c:overlay val="0"/>
          <c:spPr>
            <a:noFill/>
            <a:ln>
              <a:noFill/>
            </a:ln>
            <a:effectLst/>
          </c:spPr>
          <c:txPr>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003427504"/>
        <c:crosses val="autoZero"/>
        <c:crossBetween val="between"/>
      </c:valAx>
      <c:spPr>
        <a:noFill/>
        <a:ln>
          <a:noFill/>
        </a:ln>
        <a:effectLst/>
      </c:spPr>
    </c:plotArea>
    <c:legend>
      <c:legendPos val="b"/>
      <c:layout>
        <c:manualLayout>
          <c:xMode val="edge"/>
          <c:yMode val="edge"/>
          <c:x val="0.15841065300416785"/>
          <c:y val="0.81904920335662268"/>
          <c:w val="0.75075511497941483"/>
          <c:h val="0.15725840901342733"/>
        </c:manualLayout>
      </c:layout>
      <c:overlay val="0"/>
      <c:spPr>
        <a:noFill/>
        <a:ln>
          <a:noFill/>
        </a:ln>
        <a:effectLst/>
      </c:spPr>
      <c:txPr>
        <a:bodyPr rot="0" spcFirstLastPara="1" vertOverflow="ellipsis" vert="horz" wrap="square" anchor="ctr" anchorCtr="1"/>
        <a:lstStyle/>
        <a:p>
          <a:pPr>
            <a:defRPr sz="2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Comparison of fossil CO2</a:t>
            </a:r>
          </a:p>
        </c:rich>
      </c:tx>
      <c:layout>
        <c:manualLayout>
          <c:xMode val="edge"/>
          <c:yMode val="edge"/>
          <c:x val="0.3994698717728693"/>
          <c:y val="3.22968995485046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602071176274534"/>
          <c:y val="9.1387917297558213E-2"/>
          <c:w val="0.77970455119221105"/>
          <c:h val="0.61863963424651325"/>
        </c:manualLayout>
      </c:layout>
      <c:barChart>
        <c:barDir val="col"/>
        <c:grouping val="stacked"/>
        <c:varyColors val="0"/>
        <c:ser>
          <c:idx val="0"/>
          <c:order val="0"/>
          <c:tx>
            <c:strRef>
              <c:f>'Gasoline and electric vehicles'!$W$6</c:f>
              <c:strCache>
                <c:ptCount val="1"/>
                <c:pt idx="0">
                  <c:v>Car manufacturing</c:v>
                </c:pt>
              </c:strCache>
            </c:strRef>
          </c:tx>
          <c:spPr>
            <a:solidFill>
              <a:schemeClr val="accent1"/>
            </a:solidFill>
            <a:ln>
              <a:noFill/>
            </a:ln>
            <a:effectLst/>
          </c:spPr>
          <c:invertIfNegative val="0"/>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vehicles'!$X$6:$AB$6</c:f>
              <c:numCache>
                <c:formatCode>0.00E+00</c:formatCode>
                <c:ptCount val="5"/>
                <c:pt idx="0">
                  <c:v>3.4617172315921665E-2</c:v>
                </c:pt>
                <c:pt idx="1">
                  <c:v>3.5992784055306669E-2</c:v>
                </c:pt>
                <c:pt idx="2">
                  <c:v>3.5992784055306669E-2</c:v>
                </c:pt>
                <c:pt idx="3">
                  <c:v>3.5992784055306669E-2</c:v>
                </c:pt>
                <c:pt idx="4">
                  <c:v>3.5992784055306669E-2</c:v>
                </c:pt>
              </c:numCache>
            </c:numRef>
          </c:val>
          <c:extLst>
            <c:ext xmlns:c16="http://schemas.microsoft.com/office/drawing/2014/chart" uri="{C3380CC4-5D6E-409C-BE32-E72D297353CC}">
              <c16:uniqueId val="{00000000-E99F-4665-AB87-81CDB0B17A30}"/>
            </c:ext>
          </c:extLst>
        </c:ser>
        <c:ser>
          <c:idx val="1"/>
          <c:order val="1"/>
          <c:tx>
            <c:strRef>
              <c:f>'Gasoline and electric vehicles'!$W$7</c:f>
              <c:strCache>
                <c:ptCount val="1"/>
                <c:pt idx="0">
                  <c:v>Car transportation</c:v>
                </c:pt>
              </c:strCache>
            </c:strRef>
          </c:tx>
          <c:spPr>
            <a:solidFill>
              <a:schemeClr val="accent2"/>
            </a:solidFill>
            <a:ln>
              <a:noFill/>
            </a:ln>
            <a:effectLst/>
          </c:spPr>
          <c:invertIfNegative val="0"/>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vehicles'!$X$7:$AB$7</c:f>
              <c:numCache>
                <c:formatCode>0.00E+00</c:formatCode>
                <c:ptCount val="5"/>
                <c:pt idx="0">
                  <c:v>8.5108588344999991E-4</c:v>
                </c:pt>
                <c:pt idx="1">
                  <c:v>5.3237726906799998E-4</c:v>
                </c:pt>
                <c:pt idx="2">
                  <c:v>5.3237726906799998E-4</c:v>
                </c:pt>
                <c:pt idx="3">
                  <c:v>5.3237726906799998E-4</c:v>
                </c:pt>
                <c:pt idx="4">
                  <c:v>5.3237726906799998E-4</c:v>
                </c:pt>
              </c:numCache>
            </c:numRef>
          </c:val>
          <c:extLst>
            <c:ext xmlns:c16="http://schemas.microsoft.com/office/drawing/2014/chart" uri="{C3380CC4-5D6E-409C-BE32-E72D297353CC}">
              <c16:uniqueId val="{00000001-E99F-4665-AB87-81CDB0B17A30}"/>
            </c:ext>
          </c:extLst>
        </c:ser>
        <c:ser>
          <c:idx val="2"/>
          <c:order val="2"/>
          <c:tx>
            <c:strRef>
              <c:f>'Gasoline and electric vehicles'!$W$8</c:f>
              <c:strCache>
                <c:ptCount val="1"/>
                <c:pt idx="0">
                  <c:v>Car disposal</c:v>
                </c:pt>
              </c:strCache>
            </c:strRef>
          </c:tx>
          <c:spPr>
            <a:solidFill>
              <a:schemeClr val="accent3"/>
            </a:solidFill>
            <a:ln>
              <a:noFill/>
            </a:ln>
            <a:effectLst/>
          </c:spPr>
          <c:invertIfNegative val="0"/>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vehicles'!$X$8:$AB$8</c:f>
              <c:numCache>
                <c:formatCode>0.00E+00</c:formatCode>
                <c:ptCount val="5"/>
                <c:pt idx="0">
                  <c:v>1.1071191424159999E-3</c:v>
                </c:pt>
                <c:pt idx="1">
                  <c:v>8.022247398577777E-5</c:v>
                </c:pt>
                <c:pt idx="2">
                  <c:v>8.022247398577777E-5</c:v>
                </c:pt>
                <c:pt idx="3">
                  <c:v>8.022247398577777E-5</c:v>
                </c:pt>
                <c:pt idx="4">
                  <c:v>8.022247398577777E-5</c:v>
                </c:pt>
              </c:numCache>
            </c:numRef>
          </c:val>
          <c:extLst>
            <c:ext xmlns:c16="http://schemas.microsoft.com/office/drawing/2014/chart" uri="{C3380CC4-5D6E-409C-BE32-E72D297353CC}">
              <c16:uniqueId val="{00000002-E99F-4665-AB87-81CDB0B17A30}"/>
            </c:ext>
          </c:extLst>
        </c:ser>
        <c:ser>
          <c:idx val="5"/>
          <c:order val="3"/>
          <c:tx>
            <c:strRef>
              <c:f>'Gasoline and electric vehicles'!$W$9</c:f>
              <c:strCache>
                <c:ptCount val="1"/>
                <c:pt idx="0">
                  <c:v>Petrol gas </c:v>
                </c:pt>
              </c:strCache>
            </c:strRef>
          </c:tx>
          <c:spPr>
            <a:solidFill>
              <a:schemeClr val="accent6"/>
            </a:solidFill>
            <a:ln>
              <a:noFill/>
            </a:ln>
            <a:effectLst/>
          </c:spPr>
          <c:invertIfNegative val="0"/>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vehicles'!$X$9:$AB$9</c:f>
              <c:numCache>
                <c:formatCode>0.00000</c:formatCode>
                <c:ptCount val="5"/>
                <c:pt idx="0" formatCode="0.000">
                  <c:v>0.22884764399999999</c:v>
                </c:pt>
              </c:numCache>
            </c:numRef>
          </c:val>
          <c:extLst>
            <c:ext xmlns:c16="http://schemas.microsoft.com/office/drawing/2014/chart" uri="{C3380CC4-5D6E-409C-BE32-E72D297353CC}">
              <c16:uniqueId val="{00000005-E99F-4665-AB87-81CDB0B17A30}"/>
            </c:ext>
          </c:extLst>
        </c:ser>
        <c:ser>
          <c:idx val="6"/>
          <c:order val="4"/>
          <c:tx>
            <c:strRef>
              <c:f>'Gasoline and electric vehicles'!$W$10</c:f>
              <c:strCache>
                <c:ptCount val="1"/>
                <c:pt idx="0">
                  <c:v>Electric charging - RER</c:v>
                </c:pt>
              </c:strCache>
            </c:strRef>
          </c:tx>
          <c:spPr>
            <a:solidFill>
              <a:schemeClr val="accent1">
                <a:lumMod val="60000"/>
              </a:schemeClr>
            </a:solidFill>
            <a:ln>
              <a:noFill/>
            </a:ln>
            <a:effectLst/>
          </c:spPr>
          <c:invertIfNegative val="0"/>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vehicles'!$X$10:$AB$10</c:f>
              <c:numCache>
                <c:formatCode>0.000</c:formatCode>
                <c:ptCount val="5"/>
                <c:pt idx="1">
                  <c:v>0.10403524560000001</c:v>
                </c:pt>
              </c:numCache>
            </c:numRef>
          </c:val>
          <c:extLst>
            <c:ext xmlns:c16="http://schemas.microsoft.com/office/drawing/2014/chart" uri="{C3380CC4-5D6E-409C-BE32-E72D297353CC}">
              <c16:uniqueId val="{00000006-E99F-4665-AB87-81CDB0B17A30}"/>
            </c:ext>
          </c:extLst>
        </c:ser>
        <c:ser>
          <c:idx val="3"/>
          <c:order val="6"/>
          <c:tx>
            <c:strRef>
              <c:f>'Gasoline and electric vehicles'!$W$12</c:f>
              <c:strCache>
                <c:ptCount val="1"/>
                <c:pt idx="0">
                  <c:v>Electric charging - photovoltaic</c:v>
                </c:pt>
              </c:strCache>
            </c:strRef>
          </c:tx>
          <c:spPr>
            <a:solidFill>
              <a:schemeClr val="accent4"/>
            </a:solidFill>
            <a:ln w="25400">
              <a:noFill/>
            </a:ln>
            <a:effectLst/>
          </c:spPr>
          <c:invertIfNegative val="0"/>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vehicles'!$X$12:$AB$12</c:f>
              <c:numCache>
                <c:formatCode>0.000</c:formatCode>
                <c:ptCount val="5"/>
                <c:pt idx="3">
                  <c:v>1.777043788E-2</c:v>
                </c:pt>
              </c:numCache>
            </c:numRef>
          </c:val>
          <c:extLst>
            <c:ext xmlns:c16="http://schemas.microsoft.com/office/drawing/2014/chart" uri="{C3380CC4-5D6E-409C-BE32-E72D297353CC}">
              <c16:uniqueId val="{00000000-FCBA-47DC-8880-7D3C9DD5C64C}"/>
            </c:ext>
          </c:extLst>
        </c:ser>
        <c:ser>
          <c:idx val="7"/>
          <c:order val="5"/>
          <c:tx>
            <c:strRef>
              <c:f>'Gasoline and electric vehicles'!$W$11</c:f>
              <c:strCache>
                <c:ptCount val="1"/>
                <c:pt idx="0">
                  <c:v>Electric charging - wind</c:v>
                </c:pt>
              </c:strCache>
            </c:strRef>
          </c:tx>
          <c:spPr>
            <a:solidFill>
              <a:schemeClr val="accent2">
                <a:lumMod val="60000"/>
              </a:schemeClr>
            </a:solidFill>
            <a:ln w="25400">
              <a:noFill/>
            </a:ln>
            <a:effectLst/>
          </c:spPr>
          <c:invertIfNegative val="0"/>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vehicles'!$X$11:$AB$11</c:f>
              <c:numCache>
                <c:formatCode>0.000</c:formatCode>
                <c:ptCount val="5"/>
                <c:pt idx="2" formatCode="0.0000">
                  <c:v>3.3340684000000005E-3</c:v>
                </c:pt>
              </c:numCache>
            </c:numRef>
          </c:val>
          <c:extLst>
            <c:ext xmlns:c16="http://schemas.microsoft.com/office/drawing/2014/chart" uri="{C3380CC4-5D6E-409C-BE32-E72D297353CC}">
              <c16:uniqueId val="{00000007-E99F-4665-AB87-81CDB0B17A30}"/>
            </c:ext>
          </c:extLst>
        </c:ser>
        <c:ser>
          <c:idx val="4"/>
          <c:order val="7"/>
          <c:tx>
            <c:strRef>
              <c:f>'Gasoline and electric vehicles'!$W$13</c:f>
              <c:strCache>
                <c:ptCount val="1"/>
                <c:pt idx="0">
                  <c:v>Electric charging - hard coal</c:v>
                </c:pt>
              </c:strCache>
            </c:strRef>
          </c:tx>
          <c:spPr>
            <a:solidFill>
              <a:schemeClr val="accent5"/>
            </a:solidFill>
            <a:ln>
              <a:noFill/>
            </a:ln>
            <a:effectLst/>
          </c:spPr>
          <c:invertIfNegative val="0"/>
          <c:cat>
            <c:strRef>
              <c:f>'Gasoline and electric vehicles'!$X$5:$AB$5</c:f>
              <c:strCache>
                <c:ptCount val="5"/>
                <c:pt idx="0">
                  <c:v>Gas Vehicle</c:v>
                </c:pt>
                <c:pt idx="1">
                  <c:v>Electric Vehicle</c:v>
                </c:pt>
                <c:pt idx="2">
                  <c:v>Electric Vehicle - Wind</c:v>
                </c:pt>
                <c:pt idx="3">
                  <c:v>Electric Vehicle - Photovoltaic</c:v>
                </c:pt>
                <c:pt idx="4">
                  <c:v>Electric Vehicle - 
hard coal</c:v>
                </c:pt>
              </c:strCache>
            </c:strRef>
          </c:cat>
          <c:val>
            <c:numRef>
              <c:f>'Gasoline and electric vehicles'!$X$13:$AB$13</c:f>
              <c:numCache>
                <c:formatCode>0.000</c:formatCode>
                <c:ptCount val="5"/>
                <c:pt idx="4">
                  <c:v>0.25785832800000003</c:v>
                </c:pt>
              </c:numCache>
            </c:numRef>
          </c:val>
          <c:extLst xmlns:c15="http://schemas.microsoft.com/office/drawing/2012/chart">
            <c:ext xmlns:c16="http://schemas.microsoft.com/office/drawing/2014/chart" uri="{C3380CC4-5D6E-409C-BE32-E72D297353CC}">
              <c16:uniqueId val="{00000001-FCBA-47DC-8880-7D3C9DD5C64C}"/>
            </c:ext>
          </c:extLst>
        </c:ser>
        <c:dLbls>
          <c:showLegendKey val="0"/>
          <c:showVal val="0"/>
          <c:showCatName val="0"/>
          <c:showSerName val="0"/>
          <c:showPercent val="0"/>
          <c:showBubbleSize val="0"/>
        </c:dLbls>
        <c:gapWidth val="150"/>
        <c:overlap val="100"/>
        <c:axId val="1272768384"/>
        <c:axId val="1272761856"/>
        <c:extLst/>
      </c:barChart>
      <c:catAx>
        <c:axId val="127276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272761856"/>
        <c:crossesAt val="-5.000000000000001E-2"/>
        <c:auto val="1"/>
        <c:lblAlgn val="ctr"/>
        <c:lblOffset val="100"/>
        <c:noMultiLvlLbl val="0"/>
      </c:catAx>
      <c:valAx>
        <c:axId val="1272761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r>
                  <a:rPr lang="en-US" sz="2400"/>
                  <a:t>Fossi CO2[kg</a:t>
                </a:r>
                <a:r>
                  <a:rPr lang="en-US" sz="2400" baseline="-25000"/>
                  <a:t>CO2</a:t>
                </a:r>
                <a:r>
                  <a:rPr lang="en-US" sz="2400"/>
                  <a:t>/FU]</a:t>
                </a:r>
              </a:p>
            </c:rich>
          </c:tx>
          <c:layout>
            <c:manualLayout>
              <c:xMode val="edge"/>
              <c:yMode val="edge"/>
              <c:x val="3.3485796791450716E-2"/>
              <c:y val="0.22604594907872463"/>
            </c:manualLayout>
          </c:layout>
          <c:overlay val="0"/>
          <c:spPr>
            <a:noFill/>
            <a:ln>
              <a:noFill/>
            </a:ln>
            <a:effectLst/>
          </c:spPr>
          <c:txPr>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272768384"/>
        <c:crosses val="autoZero"/>
        <c:crossBetween val="between"/>
      </c:valAx>
      <c:spPr>
        <a:noFill/>
        <a:ln>
          <a:noFill/>
        </a:ln>
        <a:effectLst/>
      </c:spPr>
    </c:plotArea>
    <c:legend>
      <c:legendPos val="b"/>
      <c:layout>
        <c:manualLayout>
          <c:xMode val="edge"/>
          <c:yMode val="edge"/>
          <c:x val="8.1040438386661653E-2"/>
          <c:y val="0.81023175949948456"/>
          <c:w val="0.84653634542946776"/>
          <c:h val="0.15345035152759251"/>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Global Warming</a:t>
            </a:r>
            <a:r>
              <a:rPr lang="en-US" baseline="0"/>
              <a:t> score kgCO2equ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328673973390214"/>
          <c:y val="0.13793833666559704"/>
          <c:w val="0.69516983218493889"/>
          <c:h val="0.52304079763048894"/>
        </c:manualLayout>
      </c:layout>
      <c:barChart>
        <c:barDir val="col"/>
        <c:grouping val="stacked"/>
        <c:varyColors val="0"/>
        <c:ser>
          <c:idx val="0"/>
          <c:order val="0"/>
          <c:tx>
            <c:strRef>
              <c:f>'Gasoline and electric vehicles'!$AD$6</c:f>
              <c:strCache>
                <c:ptCount val="1"/>
                <c:pt idx="0">
                  <c:v>Car manufacturing</c:v>
                </c:pt>
              </c:strCache>
            </c:strRef>
          </c:tx>
          <c:spPr>
            <a:solidFill>
              <a:schemeClr val="accent1"/>
            </a:solidFill>
            <a:ln>
              <a:noFill/>
            </a:ln>
            <a:effectLst/>
          </c:spPr>
          <c:invertIfNegative val="0"/>
          <c:cat>
            <c:strRef>
              <c:extLst>
                <c:ext xmlns:c15="http://schemas.microsoft.com/office/drawing/2012/chart" uri="{02D57815-91ED-43cb-92C2-25804820EDAC}">
                  <c15:fullRef>
                    <c15:sqref>'Gasoline and electric vehicles'!$AE$5:$AM$5</c15:sqref>
                  </c15:fullRef>
                </c:ext>
              </c:extLst>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extLst>
                <c:ext xmlns:c15="http://schemas.microsoft.com/office/drawing/2012/chart" uri="{02D57815-91ED-43cb-92C2-25804820EDAC}">
                  <c15:fullRef>
                    <c15:sqref>'Gasoline and electric vehicles'!$AE$6:$AM$6</c15:sqref>
                  </c15:fullRef>
                </c:ext>
              </c:extLst>
              <c:f>('Gasoline and electric vehicles'!$AE$6,'Gasoline and electric vehicles'!$AG$6,'Gasoline and electric vehicles'!$AI$6,'Gasoline and electric vehicles'!$AK$6,'Gasoline and electric vehicles'!$AM$6)</c:f>
              <c:numCache>
                <c:formatCode>0.00E+00</c:formatCode>
                <c:ptCount val="5"/>
                <c:pt idx="0">
                  <c:v>3.89140348724226E-2</c:v>
                </c:pt>
                <c:pt idx="1">
                  <c:v>4.0770920350800002E-2</c:v>
                </c:pt>
                <c:pt idx="2">
                  <c:v>4.0770920350800002E-2</c:v>
                </c:pt>
                <c:pt idx="3">
                  <c:v>4.0770920350800002E-2</c:v>
                </c:pt>
                <c:pt idx="4">
                  <c:v>4.0770920350800002E-2</c:v>
                </c:pt>
              </c:numCache>
            </c:numRef>
          </c:val>
          <c:extLst>
            <c:ext xmlns:c16="http://schemas.microsoft.com/office/drawing/2014/chart" uri="{C3380CC4-5D6E-409C-BE32-E72D297353CC}">
              <c16:uniqueId val="{00000000-C2B8-45B8-A831-F3402C69166D}"/>
            </c:ext>
          </c:extLst>
        </c:ser>
        <c:ser>
          <c:idx val="1"/>
          <c:order val="1"/>
          <c:tx>
            <c:strRef>
              <c:f>'Gasoline and electric vehicles'!$AD$7</c:f>
              <c:strCache>
                <c:ptCount val="1"/>
                <c:pt idx="0">
                  <c:v>Car transportation</c:v>
                </c:pt>
              </c:strCache>
            </c:strRef>
          </c:tx>
          <c:spPr>
            <a:solidFill>
              <a:schemeClr val="accent2"/>
            </a:solidFill>
            <a:ln>
              <a:noFill/>
            </a:ln>
            <a:effectLst/>
          </c:spPr>
          <c:invertIfNegative val="0"/>
          <c:cat>
            <c:strRef>
              <c:extLst>
                <c:ext xmlns:c15="http://schemas.microsoft.com/office/drawing/2012/chart" uri="{02D57815-91ED-43cb-92C2-25804820EDAC}">
                  <c15:fullRef>
                    <c15:sqref>'Gasoline and electric vehicles'!$AE$5:$AM$5</c15:sqref>
                  </c15:fullRef>
                </c:ext>
              </c:extLst>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extLst>
                <c:ext xmlns:c15="http://schemas.microsoft.com/office/drawing/2012/chart" uri="{02D57815-91ED-43cb-92C2-25804820EDAC}">
                  <c15:fullRef>
                    <c15:sqref>'Gasoline and electric vehicles'!$AE$7:$AM$7</c15:sqref>
                  </c15:fullRef>
                </c:ext>
              </c:extLst>
              <c:f>('Gasoline and electric vehicles'!$AE$7,'Gasoline and electric vehicles'!$AG$7,'Gasoline and electric vehicles'!$AI$7,'Gasoline and electric vehicles'!$AK$7,'Gasoline and electric vehicles'!$AM$7)</c:f>
              <c:numCache>
                <c:formatCode>0.00E+00</c:formatCode>
                <c:ptCount val="5"/>
                <c:pt idx="0">
                  <c:v>8.8600505654333331E-4</c:v>
                </c:pt>
                <c:pt idx="1">
                  <c:v>5.5447130543600002E-4</c:v>
                </c:pt>
                <c:pt idx="2">
                  <c:v>5.5447130543600002E-4</c:v>
                </c:pt>
                <c:pt idx="3">
                  <c:v>5.5447130543600002E-4</c:v>
                </c:pt>
                <c:pt idx="4">
                  <c:v>5.5447130543600002E-4</c:v>
                </c:pt>
              </c:numCache>
            </c:numRef>
          </c:val>
          <c:extLst>
            <c:ext xmlns:c16="http://schemas.microsoft.com/office/drawing/2014/chart" uri="{C3380CC4-5D6E-409C-BE32-E72D297353CC}">
              <c16:uniqueId val="{00000001-C2B8-45B8-A831-F3402C69166D}"/>
            </c:ext>
          </c:extLst>
        </c:ser>
        <c:ser>
          <c:idx val="2"/>
          <c:order val="2"/>
          <c:tx>
            <c:strRef>
              <c:f>'Gasoline and electric vehicles'!$AD$8</c:f>
              <c:strCache>
                <c:ptCount val="1"/>
                <c:pt idx="0">
                  <c:v>Car disposal</c:v>
                </c:pt>
              </c:strCache>
            </c:strRef>
          </c:tx>
          <c:spPr>
            <a:solidFill>
              <a:schemeClr val="accent3"/>
            </a:solidFill>
            <a:ln>
              <a:noFill/>
            </a:ln>
            <a:effectLst/>
          </c:spPr>
          <c:invertIfNegative val="0"/>
          <c:cat>
            <c:strRef>
              <c:extLst>
                <c:ext xmlns:c15="http://schemas.microsoft.com/office/drawing/2012/chart" uri="{02D57815-91ED-43cb-92C2-25804820EDAC}">
                  <c15:fullRef>
                    <c15:sqref>'Gasoline and electric vehicles'!$AE$5:$AM$5</c15:sqref>
                  </c15:fullRef>
                </c:ext>
              </c:extLst>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extLst>
                <c:ext xmlns:c15="http://schemas.microsoft.com/office/drawing/2012/chart" uri="{02D57815-91ED-43cb-92C2-25804820EDAC}">
                  <c15:fullRef>
                    <c15:sqref>'Gasoline and electric vehicles'!$AE$8:$AM$8</c15:sqref>
                  </c15:fullRef>
                </c:ext>
              </c:extLst>
              <c:f>('Gasoline and electric vehicles'!$AE$8,'Gasoline and electric vehicles'!$AG$8,'Gasoline and electric vehicles'!$AI$8,'Gasoline and electric vehicles'!$AK$8,'Gasoline and electric vehicles'!$AM$8)</c:f>
              <c:numCache>
                <c:formatCode>0.00E+00</c:formatCode>
                <c:ptCount val="5"/>
                <c:pt idx="0">
                  <c:v>1.1135381974693331E-3</c:v>
                </c:pt>
                <c:pt idx="1">
                  <c:v>1.3944219403600001E-4</c:v>
                </c:pt>
                <c:pt idx="2">
                  <c:v>1.3944219403600001E-4</c:v>
                </c:pt>
                <c:pt idx="3">
                  <c:v>1.3944219403600001E-4</c:v>
                </c:pt>
                <c:pt idx="4">
                  <c:v>1.3944219403600001E-4</c:v>
                </c:pt>
              </c:numCache>
            </c:numRef>
          </c:val>
          <c:extLst>
            <c:ext xmlns:c16="http://schemas.microsoft.com/office/drawing/2014/chart" uri="{C3380CC4-5D6E-409C-BE32-E72D297353CC}">
              <c16:uniqueId val="{00000002-C2B8-45B8-A831-F3402C69166D}"/>
            </c:ext>
          </c:extLst>
        </c:ser>
        <c:ser>
          <c:idx val="5"/>
          <c:order val="3"/>
          <c:tx>
            <c:strRef>
              <c:f>'Gasoline and electric vehicles'!$AD$9</c:f>
              <c:strCache>
                <c:ptCount val="1"/>
                <c:pt idx="0">
                  <c:v>Petrol gas </c:v>
                </c:pt>
              </c:strCache>
            </c:strRef>
          </c:tx>
          <c:spPr>
            <a:solidFill>
              <a:schemeClr val="accent6"/>
            </a:solidFill>
            <a:ln>
              <a:noFill/>
            </a:ln>
            <a:effectLst/>
          </c:spPr>
          <c:invertIfNegative val="0"/>
          <c:cat>
            <c:strRef>
              <c:extLst>
                <c:ext xmlns:c15="http://schemas.microsoft.com/office/drawing/2012/chart" uri="{02D57815-91ED-43cb-92C2-25804820EDAC}">
                  <c15:fullRef>
                    <c15:sqref>'Gasoline and electric vehicles'!$AE$5:$AM$5</c15:sqref>
                  </c15:fullRef>
                </c:ext>
              </c:extLst>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extLst>
                <c:ext xmlns:c15="http://schemas.microsoft.com/office/drawing/2012/chart" uri="{02D57815-91ED-43cb-92C2-25804820EDAC}">
                  <c15:fullRef>
                    <c15:sqref>'Gasoline and electric vehicles'!$AE$9:$AM$9</c15:sqref>
                  </c15:fullRef>
                </c:ext>
              </c:extLst>
              <c:f>('Gasoline and electric vehicles'!$AE$9,'Gasoline and electric vehicles'!$AG$9,'Gasoline and electric vehicles'!$AI$9,'Gasoline and electric vehicles'!$AK$9,'Gasoline and electric vehicles'!$AM$9)</c:f>
              <c:numCache>
                <c:formatCode>0.000</c:formatCode>
                <c:ptCount val="5"/>
                <c:pt idx="0">
                  <c:v>0.23210109519047617</c:v>
                </c:pt>
              </c:numCache>
            </c:numRef>
          </c:val>
          <c:extLst>
            <c:ext xmlns:c16="http://schemas.microsoft.com/office/drawing/2014/chart" uri="{C3380CC4-5D6E-409C-BE32-E72D297353CC}">
              <c16:uniqueId val="{00000003-C2B8-45B8-A831-F3402C69166D}"/>
            </c:ext>
          </c:extLst>
        </c:ser>
        <c:ser>
          <c:idx val="6"/>
          <c:order val="4"/>
          <c:tx>
            <c:strRef>
              <c:f>'Gasoline and electric vehicles'!$AD$10</c:f>
              <c:strCache>
                <c:ptCount val="1"/>
                <c:pt idx="0">
                  <c:v>Electric charging - RER</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'Gasoline and electric vehicles'!$AE$5:$AM$5</c15:sqref>
                  </c15:fullRef>
                </c:ext>
              </c:extLst>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extLst>
                <c:ext xmlns:c15="http://schemas.microsoft.com/office/drawing/2012/chart" uri="{02D57815-91ED-43cb-92C2-25804820EDAC}">
                  <c15:fullRef>
                    <c15:sqref>'Gasoline and electric vehicles'!$AE$10:$AM$10</c15:sqref>
                  </c15:fullRef>
                </c:ext>
              </c:extLst>
              <c:f>('Gasoline and electric vehicles'!$AE$10,'Gasoline and electric vehicles'!$AG$10,'Gasoline and electric vehicles'!$AI$10,'Gasoline and electric vehicles'!$AK$10,'Gasoline and electric vehicles'!$AM$10)</c:f>
              <c:numCache>
                <c:formatCode>General</c:formatCode>
                <c:ptCount val="5"/>
                <c:pt idx="1" formatCode="0.000">
                  <c:v>0.11140719460000001</c:v>
                </c:pt>
              </c:numCache>
            </c:numRef>
          </c:val>
          <c:extLst>
            <c:ext xmlns:c16="http://schemas.microsoft.com/office/drawing/2014/chart" uri="{C3380CC4-5D6E-409C-BE32-E72D297353CC}">
              <c16:uniqueId val="{00000004-C2B8-45B8-A831-F3402C69166D}"/>
            </c:ext>
          </c:extLst>
        </c:ser>
        <c:ser>
          <c:idx val="3"/>
          <c:order val="6"/>
          <c:tx>
            <c:strRef>
              <c:f>'Gasoline and electric vehicles'!$AD$12</c:f>
              <c:strCache>
                <c:ptCount val="1"/>
                <c:pt idx="0">
                  <c:v>Electric charging - photovoltaic</c:v>
                </c:pt>
              </c:strCache>
            </c:strRef>
          </c:tx>
          <c:spPr>
            <a:solidFill>
              <a:schemeClr val="accent4"/>
            </a:solidFill>
            <a:ln>
              <a:noFill/>
            </a:ln>
            <a:effectLst/>
          </c:spPr>
          <c:invertIfNegative val="0"/>
          <c:cat>
            <c:strRef>
              <c:extLst>
                <c:ext xmlns:c15="http://schemas.microsoft.com/office/drawing/2012/chart" uri="{02D57815-91ED-43cb-92C2-25804820EDAC}">
                  <c15:fullRef>
                    <c15:sqref>'Gasoline and electric vehicles'!$AE$5:$AM$5</c15:sqref>
                  </c15:fullRef>
                </c:ext>
              </c:extLst>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extLst>
                <c:ext xmlns:c15="http://schemas.microsoft.com/office/drawing/2012/chart" uri="{02D57815-91ED-43cb-92C2-25804820EDAC}">
                  <c15:fullRef>
                    <c15:sqref>'Gasoline and electric vehicles'!$AE$12:$AM$12</c15:sqref>
                  </c15:fullRef>
                </c:ext>
              </c:extLst>
              <c:f>('Gasoline and electric vehicles'!$AE$12,'Gasoline and electric vehicles'!$AG$12,'Gasoline and electric vehicles'!$AI$12,'Gasoline and electric vehicles'!$AK$12,'Gasoline and electric vehicles'!$AM$12)</c:f>
              <c:numCache>
                <c:formatCode>General</c:formatCode>
                <c:ptCount val="5"/>
                <c:pt idx="3" formatCode="0.000">
                  <c:v>2.0308718819999998E-2</c:v>
                </c:pt>
              </c:numCache>
            </c:numRef>
          </c:val>
          <c:extLst>
            <c:ext xmlns:c16="http://schemas.microsoft.com/office/drawing/2014/chart" uri="{C3380CC4-5D6E-409C-BE32-E72D297353CC}">
              <c16:uniqueId val="{00000005-C2B8-45B8-A831-F3402C69166D}"/>
            </c:ext>
          </c:extLst>
        </c:ser>
        <c:ser>
          <c:idx val="7"/>
          <c:order val="5"/>
          <c:tx>
            <c:strRef>
              <c:f>'Gasoline and electric vehicles'!$AD$11</c:f>
              <c:strCache>
                <c:ptCount val="1"/>
                <c:pt idx="0">
                  <c:v>Electric charging - wind</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'Gasoline and electric vehicles'!$AE$5:$AM$5</c15:sqref>
                  </c15:fullRef>
                </c:ext>
              </c:extLst>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extLst>
                <c:ext xmlns:c15="http://schemas.microsoft.com/office/drawing/2012/chart" uri="{02D57815-91ED-43cb-92C2-25804820EDAC}">
                  <c15:fullRef>
                    <c15:sqref>'Gasoline and electric vehicles'!$AE$11:$AM$11</c15:sqref>
                  </c15:fullRef>
                </c:ext>
              </c:extLst>
              <c:f>('Gasoline and electric vehicles'!$AE$11,'Gasoline and electric vehicles'!$AG$11,'Gasoline and electric vehicles'!$AI$11,'Gasoline and electric vehicles'!$AK$11,'Gasoline and electric vehicles'!$AM$11)</c:f>
              <c:numCache>
                <c:formatCode>General</c:formatCode>
                <c:ptCount val="5"/>
                <c:pt idx="2" formatCode="0.0000">
                  <c:v>3.7652069E-3</c:v>
                </c:pt>
              </c:numCache>
            </c:numRef>
          </c:val>
          <c:extLst>
            <c:ext xmlns:c16="http://schemas.microsoft.com/office/drawing/2014/chart" uri="{C3380CC4-5D6E-409C-BE32-E72D297353CC}">
              <c16:uniqueId val="{00000006-C2B8-45B8-A831-F3402C69166D}"/>
            </c:ext>
          </c:extLst>
        </c:ser>
        <c:ser>
          <c:idx val="4"/>
          <c:order val="7"/>
          <c:tx>
            <c:strRef>
              <c:f>'Gasoline and electric vehicles'!$AD$13</c:f>
              <c:strCache>
                <c:ptCount val="1"/>
                <c:pt idx="0">
                  <c:v>Electric charging - hard coal</c:v>
                </c:pt>
              </c:strCache>
            </c:strRef>
          </c:tx>
          <c:spPr>
            <a:solidFill>
              <a:schemeClr val="accent5"/>
            </a:solidFill>
            <a:ln>
              <a:noFill/>
            </a:ln>
            <a:effectLst/>
          </c:spPr>
          <c:invertIfNegative val="0"/>
          <c:cat>
            <c:strRef>
              <c:extLst>
                <c:ext xmlns:c15="http://schemas.microsoft.com/office/drawing/2012/chart" uri="{02D57815-91ED-43cb-92C2-25804820EDAC}">
                  <c15:fullRef>
                    <c15:sqref>'Gasoline and electric vehicles'!$AE$5:$AM$5</c15:sqref>
                  </c15:fullRef>
                </c:ext>
              </c:extLst>
              <c:f>('Gasoline and electric vehicles'!$AE$5,'Gasoline and electric vehicles'!$AG$5,'Gasoline and electric vehicles'!$AI$5,'Gasoline and electric vehicles'!$AK$5,'Gasoline and electric vehicles'!$AM$5)</c:f>
              <c:strCache>
                <c:ptCount val="5"/>
                <c:pt idx="0">
                  <c:v>Gas Vehicle</c:v>
                </c:pt>
                <c:pt idx="1">
                  <c:v>Electric Vehicle - EU mix</c:v>
                </c:pt>
                <c:pt idx="2">
                  <c:v>Electric Vehicle - Wind</c:v>
                </c:pt>
                <c:pt idx="3">
                  <c:v>Electric Vehicle - Photovoltaic</c:v>
                </c:pt>
                <c:pt idx="4">
                  <c:v>Electric Vehicle - 
hard coal</c:v>
                </c:pt>
              </c:strCache>
            </c:strRef>
          </c:cat>
          <c:val>
            <c:numRef>
              <c:extLst>
                <c:ext xmlns:c15="http://schemas.microsoft.com/office/drawing/2012/chart" uri="{02D57815-91ED-43cb-92C2-25804820EDAC}">
                  <c15:fullRef>
                    <c15:sqref>'Gasoline and electric vehicles'!$AE$13:$AM$13</c15:sqref>
                  </c15:fullRef>
                </c:ext>
              </c:extLst>
              <c:f>('Gasoline and electric vehicles'!$AE$13,'Gasoline and electric vehicles'!$AG$13,'Gasoline and electric vehicles'!$AI$13,'Gasoline and electric vehicles'!$AK$13,'Gasoline and electric vehicles'!$AM$13)</c:f>
              <c:numCache>
                <c:formatCode>General</c:formatCode>
                <c:ptCount val="5"/>
                <c:pt idx="4" formatCode="0.000">
                  <c:v>0.26233565799999997</c:v>
                </c:pt>
              </c:numCache>
            </c:numRef>
          </c:val>
          <c:extLst xmlns:c15="http://schemas.microsoft.com/office/drawing/2012/chart">
            <c:ext xmlns:c16="http://schemas.microsoft.com/office/drawing/2014/chart" uri="{C3380CC4-5D6E-409C-BE32-E72D297353CC}">
              <c16:uniqueId val="{00000007-C2B8-45B8-A831-F3402C69166D}"/>
            </c:ext>
          </c:extLst>
        </c:ser>
        <c:dLbls>
          <c:showLegendKey val="0"/>
          <c:showVal val="0"/>
          <c:showCatName val="0"/>
          <c:showSerName val="0"/>
          <c:showPercent val="0"/>
          <c:showBubbleSize val="0"/>
        </c:dLbls>
        <c:gapWidth val="150"/>
        <c:overlap val="100"/>
        <c:axId val="1272758048"/>
        <c:axId val="1272771648"/>
        <c:extLst/>
      </c:barChart>
      <c:catAx>
        <c:axId val="127275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272771648"/>
        <c:crossesAt val="-5.000000000000001E-2"/>
        <c:auto val="1"/>
        <c:lblAlgn val="ctr"/>
        <c:lblOffset val="100"/>
        <c:noMultiLvlLbl val="0"/>
      </c:catAx>
      <c:valAx>
        <c:axId val="127277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r>
                  <a:rPr lang="en-US" sz="2400"/>
                  <a:t>GW score [kg</a:t>
                </a:r>
                <a:r>
                  <a:rPr lang="en-US" sz="2400" baseline="-25000"/>
                  <a:t>CO2equ</a:t>
                </a:r>
                <a:r>
                  <a:rPr lang="en-US" sz="2400"/>
                  <a:t>/FU]</a:t>
                </a:r>
              </a:p>
            </c:rich>
          </c:tx>
          <c:layout>
            <c:manualLayout>
              <c:xMode val="edge"/>
              <c:yMode val="edge"/>
              <c:x val="6.0985032850096509E-2"/>
              <c:y val="0.2273378248101153"/>
            </c:manualLayout>
          </c:layout>
          <c:overlay val="0"/>
          <c:spPr>
            <a:noFill/>
            <a:ln>
              <a:noFill/>
            </a:ln>
            <a:effectLst/>
          </c:spPr>
          <c:txPr>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272758048"/>
        <c:crosses val="autoZero"/>
        <c:crossBetween val="between"/>
      </c:valAx>
      <c:spPr>
        <a:noFill/>
        <a:ln>
          <a:noFill/>
        </a:ln>
        <a:effectLst/>
      </c:spPr>
    </c:plotArea>
    <c:legend>
      <c:legendPos val="b"/>
      <c:layout>
        <c:manualLayout>
          <c:xMode val="edge"/>
          <c:yMode val="edge"/>
          <c:x val="8.1040438386661653E-2"/>
          <c:y val="0.75080550110631161"/>
          <c:w val="0.84653634542946776"/>
          <c:h val="0.21287665742943351"/>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Cumulative global warming score over vehicle lifetime</a:t>
            </a:r>
          </a:p>
        </c:rich>
      </c:tx>
      <c:layout>
        <c:manualLayout>
          <c:xMode val="edge"/>
          <c:yMode val="edge"/>
          <c:x val="0.34256317712965184"/>
          <c:y val="1.9223375624759707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'Gasoline and electric vehicles'!$AQ$5</c:f>
              <c:strCache>
                <c:ptCount val="1"/>
                <c:pt idx="0">
                  <c:v>Gas Vehicle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vehicles'!$AQ$6:$AQ$46</c:f>
              <c:numCache>
                <c:formatCode>0.00E+00</c:formatCode>
                <c:ptCount val="41"/>
                <c:pt idx="0" formatCode="General">
                  <c:v>5970.0059893448897</c:v>
                </c:pt>
                <c:pt idx="1">
                  <c:v>6202.1070845353661</c:v>
                </c:pt>
                <c:pt idx="2">
                  <c:v>6434.2081797258425</c:v>
                </c:pt>
                <c:pt idx="3">
                  <c:v>6666.3092749163179</c:v>
                </c:pt>
                <c:pt idx="4">
                  <c:v>7130.5114652972707</c:v>
                </c:pt>
                <c:pt idx="5">
                  <c:v>7594.7136556782225</c:v>
                </c:pt>
                <c:pt idx="6">
                  <c:v>8291.0169412496507</c:v>
                </c:pt>
                <c:pt idx="7">
                  <c:v>10612.027893154413</c:v>
                </c:pt>
                <c:pt idx="8">
                  <c:v>12933.038845059174</c:v>
                </c:pt>
                <c:pt idx="9">
                  <c:v>15254.049796963936</c:v>
                </c:pt>
                <c:pt idx="10">
                  <c:v>17575.060748868698</c:v>
                </c:pt>
                <c:pt idx="11">
                  <c:v>19896.07170077346</c:v>
                </c:pt>
                <c:pt idx="12">
                  <c:v>22217.082652678222</c:v>
                </c:pt>
                <c:pt idx="13">
                  <c:v>24538.093604582984</c:v>
                </c:pt>
                <c:pt idx="14">
                  <c:v>26859.104556487746</c:v>
                </c:pt>
                <c:pt idx="15">
                  <c:v>29180.115508392504</c:v>
                </c:pt>
                <c:pt idx="16">
                  <c:v>31501.126460297266</c:v>
                </c:pt>
                <c:pt idx="17">
                  <c:v>33822.137412202028</c:v>
                </c:pt>
                <c:pt idx="18">
                  <c:v>36143.14836410679</c:v>
                </c:pt>
                <c:pt idx="19">
                  <c:v>38464.159316011552</c:v>
                </c:pt>
                <c:pt idx="20">
                  <c:v>40785.170267916321</c:v>
                </c:pt>
                <c:pt idx="21">
                  <c:v>43106.181219821083</c:v>
                </c:pt>
                <c:pt idx="22">
                  <c:v>45427.192171725845</c:v>
                </c:pt>
                <c:pt idx="23">
                  <c:v>47748.203123630607</c:v>
                </c:pt>
                <c:pt idx="24">
                  <c:v>50069.214075535361</c:v>
                </c:pt>
                <c:pt idx="25">
                  <c:v>52390.225027440123</c:v>
                </c:pt>
                <c:pt idx="26">
                  <c:v>54711.235979344885</c:v>
                </c:pt>
                <c:pt idx="27">
                  <c:v>57032.246931249647</c:v>
                </c:pt>
                <c:pt idx="28">
                  <c:v>59353.257883154409</c:v>
                </c:pt>
                <c:pt idx="29">
                  <c:v>61674.268835059171</c:v>
                </c:pt>
                <c:pt idx="30">
                  <c:v>63995.279786963933</c:v>
                </c:pt>
                <c:pt idx="31">
                  <c:v>66316.290738868687</c:v>
                </c:pt>
                <c:pt idx="32">
                  <c:v>68637.301690773456</c:v>
                </c:pt>
                <c:pt idx="33">
                  <c:v>70958.312642678211</c:v>
                </c:pt>
                <c:pt idx="34">
                  <c:v>73279.32359458298</c:v>
                </c:pt>
                <c:pt idx="35">
                  <c:v>75600.334546487749</c:v>
                </c:pt>
                <c:pt idx="36">
                  <c:v>77921.345498392504</c:v>
                </c:pt>
                <c:pt idx="37">
                  <c:v>80242.356450297273</c:v>
                </c:pt>
                <c:pt idx="38">
                  <c:v>82563.367402202028</c:v>
                </c:pt>
                <c:pt idx="39">
                  <c:v>84884.378354106797</c:v>
                </c:pt>
                <c:pt idx="40">
                  <c:v>87205.389306011552</c:v>
                </c:pt>
              </c:numCache>
            </c:numRef>
          </c:yVal>
          <c:smooth val="0"/>
          <c:extLst>
            <c:ext xmlns:c16="http://schemas.microsoft.com/office/drawing/2014/chart" uri="{C3380CC4-5D6E-409C-BE32-E72D297353CC}">
              <c16:uniqueId val="{00000000-C80E-4537-9DCE-049604E25E6A}"/>
            </c:ext>
          </c:extLst>
        </c:ser>
        <c:ser>
          <c:idx val="1"/>
          <c:order val="1"/>
          <c:tx>
            <c:strRef>
              <c:f>'Gasoline and electric vehicles'!$AR$5</c:f>
              <c:strCache>
                <c:ptCount val="1"/>
                <c:pt idx="0">
                  <c:v>Electric Vehicle - EU mix</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vehicles'!$AR$6:$AR$46</c:f>
              <c:numCache>
                <c:formatCode>0.00E+00</c:formatCode>
                <c:ptCount val="41"/>
                <c:pt idx="0" formatCode="General">
                  <c:v>9298.2131226531001</c:v>
                </c:pt>
                <c:pt idx="1">
                  <c:v>9409.6203172531004</c:v>
                </c:pt>
                <c:pt idx="2">
                  <c:v>9521.0275118531008</c:v>
                </c:pt>
                <c:pt idx="3">
                  <c:v>9632.4347064530994</c:v>
                </c:pt>
                <c:pt idx="4">
                  <c:v>9855.2490956531001</c:v>
                </c:pt>
                <c:pt idx="5">
                  <c:v>10078.063484853101</c:v>
                </c:pt>
                <c:pt idx="6">
                  <c:v>10412.2850686531</c:v>
                </c:pt>
                <c:pt idx="7">
                  <c:v>11526.3570146531</c:v>
                </c:pt>
                <c:pt idx="8">
                  <c:v>12640.4289606531</c:v>
                </c:pt>
                <c:pt idx="9">
                  <c:v>13754.5009066531</c:v>
                </c:pt>
                <c:pt idx="10">
                  <c:v>14868.5728526531</c:v>
                </c:pt>
                <c:pt idx="11">
                  <c:v>15982.6447986531</c:v>
                </c:pt>
                <c:pt idx="12">
                  <c:v>17096.716744653102</c:v>
                </c:pt>
                <c:pt idx="13">
                  <c:v>18210.788690653098</c:v>
                </c:pt>
                <c:pt idx="14">
                  <c:v>19324.860636653102</c:v>
                </c:pt>
                <c:pt idx="15">
                  <c:v>20438.932582653099</c:v>
                </c:pt>
                <c:pt idx="16">
                  <c:v>21553.004528653102</c:v>
                </c:pt>
                <c:pt idx="17">
                  <c:v>22667.076474653099</c:v>
                </c:pt>
                <c:pt idx="18">
                  <c:v>23781.148420653102</c:v>
                </c:pt>
                <c:pt idx="19">
                  <c:v>24895.220366653102</c:v>
                </c:pt>
                <c:pt idx="20">
                  <c:v>26009.292312653102</c:v>
                </c:pt>
                <c:pt idx="21">
                  <c:v>27123.364258653099</c:v>
                </c:pt>
                <c:pt idx="22">
                  <c:v>28237.436204653102</c:v>
                </c:pt>
                <c:pt idx="23">
                  <c:v>29351.508150653099</c:v>
                </c:pt>
                <c:pt idx="24">
                  <c:v>30465.580096653102</c:v>
                </c:pt>
                <c:pt idx="25">
                  <c:v>31579.652042653099</c:v>
                </c:pt>
                <c:pt idx="26">
                  <c:v>32693.723988653102</c:v>
                </c:pt>
                <c:pt idx="27">
                  <c:v>33807.795934653099</c:v>
                </c:pt>
                <c:pt idx="28">
                  <c:v>34921.867880653102</c:v>
                </c:pt>
                <c:pt idx="29">
                  <c:v>36035.939826653099</c:v>
                </c:pt>
                <c:pt idx="30">
                  <c:v>37150.011772653103</c:v>
                </c:pt>
                <c:pt idx="31">
                  <c:v>38264.083718653099</c:v>
                </c:pt>
                <c:pt idx="32">
                  <c:v>39378.155664653103</c:v>
                </c:pt>
                <c:pt idx="33">
                  <c:v>40492.227610653106</c:v>
                </c:pt>
                <c:pt idx="34">
                  <c:v>41606.299556653103</c:v>
                </c:pt>
                <c:pt idx="35">
                  <c:v>42720.371502653099</c:v>
                </c:pt>
                <c:pt idx="36">
                  <c:v>43834.443448653103</c:v>
                </c:pt>
                <c:pt idx="37">
                  <c:v>44948.515394653099</c:v>
                </c:pt>
                <c:pt idx="38">
                  <c:v>46062.587340653103</c:v>
                </c:pt>
                <c:pt idx="39">
                  <c:v>47176.659286653099</c:v>
                </c:pt>
                <c:pt idx="40">
                  <c:v>48290.731232653103</c:v>
                </c:pt>
              </c:numCache>
            </c:numRef>
          </c:yVal>
          <c:smooth val="0"/>
          <c:extLst>
            <c:ext xmlns:c16="http://schemas.microsoft.com/office/drawing/2014/chart" uri="{C3380CC4-5D6E-409C-BE32-E72D297353CC}">
              <c16:uniqueId val="{00000001-C80E-4537-9DCE-049604E25E6A}"/>
            </c:ext>
          </c:extLst>
        </c:ser>
        <c:ser>
          <c:idx val="2"/>
          <c:order val="2"/>
          <c:tx>
            <c:strRef>
              <c:f>'Gasoline and electric vehicles'!$AS$5</c:f>
              <c:strCache>
                <c:ptCount val="1"/>
                <c:pt idx="0">
                  <c:v>Electric Vehicle - Wind</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vehicles'!$AS$6:$AS$46</c:f>
              <c:numCache>
                <c:formatCode>0.00E+00</c:formatCode>
                <c:ptCount val="41"/>
                <c:pt idx="0" formatCode="General">
                  <c:v>9298.2131226531001</c:v>
                </c:pt>
                <c:pt idx="1">
                  <c:v>9301.9783295530997</c:v>
                </c:pt>
                <c:pt idx="2">
                  <c:v>9305.7435364530993</c:v>
                </c:pt>
                <c:pt idx="3">
                  <c:v>9309.5087433531007</c:v>
                </c:pt>
                <c:pt idx="4">
                  <c:v>9317.0391571530999</c:v>
                </c:pt>
                <c:pt idx="5">
                  <c:v>9324.5695709530992</c:v>
                </c:pt>
                <c:pt idx="6">
                  <c:v>9335.8651916530998</c:v>
                </c:pt>
                <c:pt idx="7">
                  <c:v>9373.5172606530996</c:v>
                </c:pt>
                <c:pt idx="8">
                  <c:v>9411.1693296530993</c:v>
                </c:pt>
                <c:pt idx="9">
                  <c:v>9448.8213986531009</c:v>
                </c:pt>
                <c:pt idx="10">
                  <c:v>9486.4734676531007</c:v>
                </c:pt>
                <c:pt idx="11">
                  <c:v>9524.1255366531004</c:v>
                </c:pt>
                <c:pt idx="12">
                  <c:v>9561.7776056531002</c:v>
                </c:pt>
                <c:pt idx="13">
                  <c:v>9599.4296746530999</c:v>
                </c:pt>
                <c:pt idx="14">
                  <c:v>9637.0817436530997</c:v>
                </c:pt>
                <c:pt idx="15">
                  <c:v>9674.7338126530994</c:v>
                </c:pt>
                <c:pt idx="16">
                  <c:v>9712.3858816530992</c:v>
                </c:pt>
                <c:pt idx="17">
                  <c:v>9750.0379506531008</c:v>
                </c:pt>
                <c:pt idx="18">
                  <c:v>9787.6900196531005</c:v>
                </c:pt>
                <c:pt idx="19">
                  <c:v>9825.3420886531003</c:v>
                </c:pt>
                <c:pt idx="20">
                  <c:v>9862.9941576531</c:v>
                </c:pt>
                <c:pt idx="21">
                  <c:v>9900.6462266530998</c:v>
                </c:pt>
                <c:pt idx="22">
                  <c:v>9938.2982956530996</c:v>
                </c:pt>
                <c:pt idx="23">
                  <c:v>9975.9503646530993</c:v>
                </c:pt>
                <c:pt idx="24">
                  <c:v>10013.602433653101</c:v>
                </c:pt>
                <c:pt idx="25">
                  <c:v>10051.254502653101</c:v>
                </c:pt>
                <c:pt idx="26">
                  <c:v>10088.9065716531</c:v>
                </c:pt>
                <c:pt idx="27">
                  <c:v>10126.5586406531</c:v>
                </c:pt>
                <c:pt idx="28">
                  <c:v>10164.2107096531</c:v>
                </c:pt>
                <c:pt idx="29">
                  <c:v>10201.8627786531</c:v>
                </c:pt>
                <c:pt idx="30">
                  <c:v>10239.514847653099</c:v>
                </c:pt>
                <c:pt idx="31">
                  <c:v>10277.166916653099</c:v>
                </c:pt>
                <c:pt idx="32">
                  <c:v>10314.818985653101</c:v>
                </c:pt>
                <c:pt idx="33">
                  <c:v>10352.471054653101</c:v>
                </c:pt>
                <c:pt idx="34">
                  <c:v>10390.1231236531</c:v>
                </c:pt>
                <c:pt idx="35">
                  <c:v>10427.7751926531</c:v>
                </c:pt>
                <c:pt idx="36">
                  <c:v>10465.4272616531</c:v>
                </c:pt>
                <c:pt idx="37">
                  <c:v>10503.0793306531</c:v>
                </c:pt>
                <c:pt idx="38">
                  <c:v>10540.731399653099</c:v>
                </c:pt>
                <c:pt idx="39">
                  <c:v>10578.383468653101</c:v>
                </c:pt>
                <c:pt idx="40">
                  <c:v>10616.035537653101</c:v>
                </c:pt>
              </c:numCache>
            </c:numRef>
          </c:yVal>
          <c:smooth val="0"/>
          <c:extLst>
            <c:ext xmlns:c16="http://schemas.microsoft.com/office/drawing/2014/chart" uri="{C3380CC4-5D6E-409C-BE32-E72D297353CC}">
              <c16:uniqueId val="{00000002-C80E-4537-9DCE-049604E25E6A}"/>
            </c:ext>
          </c:extLst>
        </c:ser>
        <c:ser>
          <c:idx val="3"/>
          <c:order val="3"/>
          <c:tx>
            <c:strRef>
              <c:f>'Gasoline and electric vehicles'!$AT$5</c:f>
              <c:strCache>
                <c:ptCount val="1"/>
                <c:pt idx="0">
                  <c:v>Electric Vehicle - Photovoltaic</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vehicles'!$AT$6:$AT$46</c:f>
              <c:numCache>
                <c:formatCode>0.00E+00</c:formatCode>
                <c:ptCount val="41"/>
                <c:pt idx="0" formatCode="General">
                  <c:v>9298.2131226531001</c:v>
                </c:pt>
                <c:pt idx="1">
                  <c:v>9318.5218414731007</c:v>
                </c:pt>
                <c:pt idx="2">
                  <c:v>9338.8305602930996</c:v>
                </c:pt>
                <c:pt idx="3">
                  <c:v>9359.1392791131002</c:v>
                </c:pt>
                <c:pt idx="4">
                  <c:v>9399.7567167530997</c:v>
                </c:pt>
                <c:pt idx="5">
                  <c:v>9440.3741543930992</c:v>
                </c:pt>
                <c:pt idx="6">
                  <c:v>9501.3003108530993</c:v>
                </c:pt>
                <c:pt idx="7">
                  <c:v>9704.3874990531003</c:v>
                </c:pt>
                <c:pt idx="8">
                  <c:v>9907.4746872530995</c:v>
                </c:pt>
                <c:pt idx="9">
                  <c:v>10110.561875453101</c:v>
                </c:pt>
                <c:pt idx="10">
                  <c:v>10313.6490636531</c:v>
                </c:pt>
                <c:pt idx="11">
                  <c:v>10516.736251853101</c:v>
                </c:pt>
                <c:pt idx="12">
                  <c:v>10719.8234400531</c:v>
                </c:pt>
                <c:pt idx="13">
                  <c:v>10922.910628253099</c:v>
                </c:pt>
                <c:pt idx="14">
                  <c:v>11125.9978164531</c:v>
                </c:pt>
                <c:pt idx="15">
                  <c:v>11329.0850046531</c:v>
                </c:pt>
                <c:pt idx="16">
                  <c:v>11532.172192853101</c:v>
                </c:pt>
                <c:pt idx="17">
                  <c:v>11735.2593810531</c:v>
                </c:pt>
                <c:pt idx="18">
                  <c:v>11938.346569253099</c:v>
                </c:pt>
                <c:pt idx="19">
                  <c:v>12141.4337574531</c:v>
                </c:pt>
                <c:pt idx="20">
                  <c:v>12344.520945653099</c:v>
                </c:pt>
                <c:pt idx="21">
                  <c:v>12547.6081338531</c:v>
                </c:pt>
                <c:pt idx="22">
                  <c:v>12750.6953220531</c:v>
                </c:pt>
                <c:pt idx="23">
                  <c:v>12953.782510253099</c:v>
                </c:pt>
                <c:pt idx="24">
                  <c:v>13156.8696984531</c:v>
                </c:pt>
                <c:pt idx="25">
                  <c:v>13359.956886653101</c:v>
                </c:pt>
                <c:pt idx="26">
                  <c:v>13563.0440748531</c:v>
                </c:pt>
                <c:pt idx="27">
                  <c:v>13766.131263053099</c:v>
                </c:pt>
                <c:pt idx="28">
                  <c:v>13969.218451253098</c:v>
                </c:pt>
                <c:pt idx="29">
                  <c:v>14172.3056394531</c:v>
                </c:pt>
                <c:pt idx="30">
                  <c:v>14375.392827653101</c:v>
                </c:pt>
                <c:pt idx="31">
                  <c:v>14578.4800158531</c:v>
                </c:pt>
                <c:pt idx="32">
                  <c:v>14781.567204053099</c:v>
                </c:pt>
                <c:pt idx="33">
                  <c:v>14984.6543922531</c:v>
                </c:pt>
                <c:pt idx="34">
                  <c:v>15187.741580453099</c:v>
                </c:pt>
                <c:pt idx="35">
                  <c:v>15390.8287686531</c:v>
                </c:pt>
                <c:pt idx="36">
                  <c:v>15593.915956853099</c:v>
                </c:pt>
                <c:pt idx="37">
                  <c:v>15797.003145053099</c:v>
                </c:pt>
                <c:pt idx="38">
                  <c:v>16000.0903332531</c:v>
                </c:pt>
                <c:pt idx="39">
                  <c:v>16203.177521453101</c:v>
                </c:pt>
                <c:pt idx="40">
                  <c:v>16406.2647096531</c:v>
                </c:pt>
              </c:numCache>
            </c:numRef>
          </c:yVal>
          <c:smooth val="0"/>
          <c:extLst>
            <c:ext xmlns:c16="http://schemas.microsoft.com/office/drawing/2014/chart" uri="{C3380CC4-5D6E-409C-BE32-E72D297353CC}">
              <c16:uniqueId val="{00000003-C80E-4537-9DCE-049604E25E6A}"/>
            </c:ext>
          </c:extLst>
        </c:ser>
        <c:ser>
          <c:idx val="4"/>
          <c:order val="4"/>
          <c:tx>
            <c:strRef>
              <c:f>'Gasoline and electric vehicles'!$AU$5</c:f>
              <c:strCache>
                <c:ptCount val="1"/>
                <c:pt idx="0">
                  <c:v>Electric Vehicle - Hard coal</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vehicles'!$AU$6:$AU$46</c:f>
              <c:numCache>
                <c:formatCode>0.00E+00</c:formatCode>
                <c:ptCount val="41"/>
                <c:pt idx="0" formatCode="General">
                  <c:v>9298.2131226531001</c:v>
                </c:pt>
                <c:pt idx="1">
                  <c:v>9560.5487806531</c:v>
                </c:pt>
                <c:pt idx="2">
                  <c:v>9822.8844386531</c:v>
                </c:pt>
                <c:pt idx="3">
                  <c:v>10085.2200966531</c:v>
                </c:pt>
                <c:pt idx="4">
                  <c:v>10609.8914126531</c:v>
                </c:pt>
                <c:pt idx="5">
                  <c:v>11134.5627286531</c:v>
                </c:pt>
                <c:pt idx="6">
                  <c:v>11921.5697026531</c:v>
                </c:pt>
                <c:pt idx="7">
                  <c:v>14544.926282653099</c:v>
                </c:pt>
                <c:pt idx="8">
                  <c:v>17168.282862653097</c:v>
                </c:pt>
                <c:pt idx="9">
                  <c:v>19791.639442653097</c:v>
                </c:pt>
                <c:pt idx="10">
                  <c:v>22414.996022653097</c:v>
                </c:pt>
                <c:pt idx="11">
                  <c:v>25038.352602653096</c:v>
                </c:pt>
                <c:pt idx="12">
                  <c:v>27661.709182653096</c:v>
                </c:pt>
                <c:pt idx="13">
                  <c:v>30285.065762653096</c:v>
                </c:pt>
                <c:pt idx="14">
                  <c:v>32908.422342653095</c:v>
                </c:pt>
                <c:pt idx="15">
                  <c:v>35531.778922653095</c:v>
                </c:pt>
                <c:pt idx="16">
                  <c:v>38155.135502653095</c:v>
                </c:pt>
                <c:pt idx="17">
                  <c:v>40778.492082653094</c:v>
                </c:pt>
                <c:pt idx="18">
                  <c:v>43401.848662653094</c:v>
                </c:pt>
                <c:pt idx="19">
                  <c:v>46025.205242653094</c:v>
                </c:pt>
                <c:pt idx="20">
                  <c:v>48648.561822653093</c:v>
                </c:pt>
                <c:pt idx="21">
                  <c:v>51271.918402653093</c:v>
                </c:pt>
                <c:pt idx="22">
                  <c:v>53895.274982653093</c:v>
                </c:pt>
                <c:pt idx="23">
                  <c:v>56518.631562653092</c:v>
                </c:pt>
                <c:pt idx="24">
                  <c:v>59141.988142653092</c:v>
                </c:pt>
                <c:pt idx="25">
                  <c:v>61765.344722653092</c:v>
                </c:pt>
                <c:pt idx="26">
                  <c:v>64388.701302653091</c:v>
                </c:pt>
                <c:pt idx="27">
                  <c:v>67012.057882653098</c:v>
                </c:pt>
                <c:pt idx="28">
                  <c:v>69635.414462653091</c:v>
                </c:pt>
                <c:pt idx="29">
                  <c:v>72258.771042653098</c:v>
                </c:pt>
                <c:pt idx="30">
                  <c:v>74882.127622653104</c:v>
                </c:pt>
                <c:pt idx="31">
                  <c:v>77505.484202653097</c:v>
                </c:pt>
                <c:pt idx="32">
                  <c:v>80128.840782653104</c:v>
                </c:pt>
                <c:pt idx="33">
                  <c:v>82752.197362653096</c:v>
                </c:pt>
                <c:pt idx="34">
                  <c:v>85375.553942653103</c:v>
                </c:pt>
                <c:pt idx="35">
                  <c:v>87998.910522653096</c:v>
                </c:pt>
                <c:pt idx="36">
                  <c:v>90622.267102653102</c:v>
                </c:pt>
                <c:pt idx="37">
                  <c:v>93245.623682653095</c:v>
                </c:pt>
                <c:pt idx="38">
                  <c:v>95868.980262653102</c:v>
                </c:pt>
                <c:pt idx="39">
                  <c:v>98492.336842653094</c:v>
                </c:pt>
                <c:pt idx="40">
                  <c:v>101115.6934226531</c:v>
                </c:pt>
              </c:numCache>
            </c:numRef>
          </c:yVal>
          <c:smooth val="0"/>
          <c:extLst>
            <c:ext xmlns:c16="http://schemas.microsoft.com/office/drawing/2014/chart" uri="{C3380CC4-5D6E-409C-BE32-E72D297353CC}">
              <c16:uniqueId val="{00000000-3F92-4599-8961-F4F24CC36D5B}"/>
            </c:ext>
          </c:extLst>
        </c:ser>
        <c:dLbls>
          <c:showLegendKey val="0"/>
          <c:showVal val="0"/>
          <c:showCatName val="0"/>
          <c:showSerName val="0"/>
          <c:showPercent val="0"/>
          <c:showBubbleSize val="0"/>
        </c:dLbls>
        <c:axId val="1272758592"/>
        <c:axId val="1272767840"/>
      </c:scatterChart>
      <c:valAx>
        <c:axId val="1272758592"/>
        <c:scaling>
          <c:orientation val="minMax"/>
          <c:max val="35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Distance over car lifetime</a:t>
                </a:r>
              </a:p>
            </c:rich>
          </c:tx>
          <c:layout>
            <c:manualLayout>
              <c:xMode val="edge"/>
              <c:yMode val="edge"/>
              <c:x val="0.45093736964314057"/>
              <c:y val="0.88696286805549907"/>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272767840"/>
        <c:crosses val="autoZero"/>
        <c:crossBetween val="midCat"/>
      </c:valAx>
      <c:valAx>
        <c:axId val="1272767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Global warming score [kgCO2equ]</a:t>
                </a:r>
              </a:p>
              <a:p>
                <a:pPr>
                  <a:defRPr/>
                </a:pPr>
                <a:endParaRPr lang="en-US"/>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2727585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Sensitivity study: kgfossil</a:t>
            </a:r>
            <a:r>
              <a:rPr lang="en-US" baseline="0"/>
              <a:t> </a:t>
            </a:r>
            <a:r>
              <a:rPr lang="en-US"/>
              <a:t>CO2/V-km </a:t>
            </a:r>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170635145426971E-2"/>
          <c:y val="7.1348083369278101E-2"/>
          <c:w val="0.88598286724950748"/>
          <c:h val="0.7541721403995485"/>
        </c:manualLayout>
      </c:layout>
      <c:scatterChart>
        <c:scatterStyle val="lineMarker"/>
        <c:varyColors val="0"/>
        <c:ser>
          <c:idx val="0"/>
          <c:order val="0"/>
          <c:tx>
            <c:strRef>
              <c:f>'Gasoline and electric vehicles'!$AX$5</c:f>
              <c:strCache>
                <c:ptCount val="1"/>
                <c:pt idx="0">
                  <c:v>Gas Vehicle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'Gasoline and electric vehicles'!$AW$6:$AW$46</c:f>
              <c:numCache>
                <c:formatCode>General</c:formatCode>
                <c:ptCount val="41"/>
                <c:pt idx="0">
                  <c:v>0.01</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vehicles'!$AX$6:$AX$46</c:f>
              <c:numCache>
                <c:formatCode>0.00E+00</c:formatCode>
                <c:ptCount val="41"/>
                <c:pt idx="0" formatCode="General">
                  <c:v>597000.59893448895</c:v>
                </c:pt>
                <c:pt idx="1">
                  <c:v>6.2021070845353661</c:v>
                </c:pt>
                <c:pt idx="2">
                  <c:v>3.2171040898629211</c:v>
                </c:pt>
                <c:pt idx="3">
                  <c:v>2.2221030916387727</c:v>
                </c:pt>
                <c:pt idx="4">
                  <c:v>1.4261022930594542</c:v>
                </c:pt>
                <c:pt idx="5">
                  <c:v>1.0849590936683176</c:v>
                </c:pt>
                <c:pt idx="6">
                  <c:v>0.82910169412496504</c:v>
                </c:pt>
                <c:pt idx="7">
                  <c:v>0.5306013946577206</c:v>
                </c:pt>
                <c:pt idx="8">
                  <c:v>0.43110129483530579</c:v>
                </c:pt>
                <c:pt idx="9">
                  <c:v>0.38135124492409839</c:v>
                </c:pt>
                <c:pt idx="10">
                  <c:v>0.35150121497737397</c:v>
                </c:pt>
                <c:pt idx="11">
                  <c:v>0.33160119501289098</c:v>
                </c:pt>
                <c:pt idx="12">
                  <c:v>0.31738689503826034</c:v>
                </c:pt>
                <c:pt idx="13">
                  <c:v>0.30672617005728731</c:v>
                </c:pt>
                <c:pt idx="14">
                  <c:v>0.29843449507208608</c:v>
                </c:pt>
                <c:pt idx="15">
                  <c:v>0.29180115508392507</c:v>
                </c:pt>
                <c:pt idx="16">
                  <c:v>0.28637387691179333</c:v>
                </c:pt>
                <c:pt idx="17">
                  <c:v>0.28185114510168358</c:v>
                </c:pt>
                <c:pt idx="18">
                  <c:v>0.27802421818543682</c:v>
                </c:pt>
                <c:pt idx="19">
                  <c:v>0.2747439951143682</c:v>
                </c:pt>
                <c:pt idx="20">
                  <c:v>0.27190113511944214</c:v>
                </c:pt>
                <c:pt idx="21">
                  <c:v>0.26941363262388179</c:v>
                </c:pt>
                <c:pt idx="22">
                  <c:v>0.26721877748074024</c:v>
                </c:pt>
                <c:pt idx="23">
                  <c:v>0.26526779513128113</c:v>
                </c:pt>
                <c:pt idx="24">
                  <c:v>0.26352217934492295</c:v>
                </c:pt>
                <c:pt idx="25">
                  <c:v>0.26195112513720059</c:v>
                </c:pt>
                <c:pt idx="26">
                  <c:v>0.26052969513973756</c:v>
                </c:pt>
                <c:pt idx="27">
                  <c:v>0.25923748605113478</c:v>
                </c:pt>
                <c:pt idx="28">
                  <c:v>0.25805764297023653</c:v>
                </c:pt>
                <c:pt idx="29">
                  <c:v>0.2569761201460799</c:v>
                </c:pt>
                <c:pt idx="30">
                  <c:v>0.25598111914785571</c:v>
                </c:pt>
                <c:pt idx="31">
                  <c:v>0.25506265668795647</c:v>
                </c:pt>
                <c:pt idx="32">
                  <c:v>0.25421222848434616</c:v>
                </c:pt>
                <c:pt idx="33">
                  <c:v>0.25342254515242219</c:v>
                </c:pt>
                <c:pt idx="34">
                  <c:v>0.25268732273994132</c:v>
                </c:pt>
                <c:pt idx="35">
                  <c:v>0.25200111515495915</c:v>
                </c:pt>
                <c:pt idx="36">
                  <c:v>0.25135917902707261</c:v>
                </c:pt>
                <c:pt idx="37">
                  <c:v>0.25075736390717895</c:v>
                </c:pt>
                <c:pt idx="38">
                  <c:v>0.25019202243091526</c:v>
                </c:pt>
                <c:pt idx="39">
                  <c:v>0.24965993633560823</c:v>
                </c:pt>
                <c:pt idx="40">
                  <c:v>0.24915825516003301</c:v>
                </c:pt>
              </c:numCache>
            </c:numRef>
          </c:yVal>
          <c:smooth val="0"/>
          <c:extLst>
            <c:ext xmlns:c16="http://schemas.microsoft.com/office/drawing/2014/chart" uri="{C3380CC4-5D6E-409C-BE32-E72D297353CC}">
              <c16:uniqueId val="{00000000-2A5C-44D5-8C79-0C27195B01DE}"/>
            </c:ext>
          </c:extLst>
        </c:ser>
        <c:ser>
          <c:idx val="1"/>
          <c:order val="1"/>
          <c:tx>
            <c:strRef>
              <c:f>'Gasoline and electric vehicles'!$AY$5</c:f>
              <c:strCache>
                <c:ptCount val="1"/>
                <c:pt idx="0">
                  <c:v>Electric Vehicle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'Gasoline and electric vehicles'!$AW$6:$AW$46</c:f>
              <c:numCache>
                <c:formatCode>General</c:formatCode>
                <c:ptCount val="41"/>
                <c:pt idx="0">
                  <c:v>0.01</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vehicles'!$AY$6:$AY$46</c:f>
              <c:numCache>
                <c:formatCode>0.00E+00</c:formatCode>
                <c:ptCount val="41"/>
                <c:pt idx="0" formatCode="General">
                  <c:v>929821.31226530997</c:v>
                </c:pt>
                <c:pt idx="1">
                  <c:v>9.4096203172531006</c:v>
                </c:pt>
                <c:pt idx="2">
                  <c:v>4.7605137559265502</c:v>
                </c:pt>
                <c:pt idx="3">
                  <c:v>3.2108115688176997</c:v>
                </c:pt>
                <c:pt idx="4">
                  <c:v>1.9710498191306201</c:v>
                </c:pt>
                <c:pt idx="5">
                  <c:v>1.4397233549790145</c:v>
                </c:pt>
                <c:pt idx="6">
                  <c:v>1.04122850686531</c:v>
                </c:pt>
                <c:pt idx="7">
                  <c:v>0.57631785073265496</c:v>
                </c:pt>
                <c:pt idx="8">
                  <c:v>0.42134763202177</c:v>
                </c:pt>
                <c:pt idx="9">
                  <c:v>0.3438625226663275</c:v>
                </c:pt>
                <c:pt idx="10">
                  <c:v>0.297371457053062</c:v>
                </c:pt>
                <c:pt idx="11">
                  <c:v>0.26637741331088499</c:v>
                </c:pt>
                <c:pt idx="12">
                  <c:v>0.24423881063790145</c:v>
                </c:pt>
                <c:pt idx="13">
                  <c:v>0.22763485863316374</c:v>
                </c:pt>
                <c:pt idx="14">
                  <c:v>0.21472067374059003</c:v>
                </c:pt>
                <c:pt idx="15">
                  <c:v>0.20438932582653099</c:v>
                </c:pt>
                <c:pt idx="16">
                  <c:v>0.1959364048059373</c:v>
                </c:pt>
                <c:pt idx="17">
                  <c:v>0.18889230395544249</c:v>
                </c:pt>
                <c:pt idx="18">
                  <c:v>0.18293191092810079</c:v>
                </c:pt>
                <c:pt idx="19">
                  <c:v>0.17782300261895073</c:v>
                </c:pt>
                <c:pt idx="20">
                  <c:v>0.17339528208435401</c:v>
                </c:pt>
                <c:pt idx="21">
                  <c:v>0.16952102661658186</c:v>
                </c:pt>
                <c:pt idx="22">
                  <c:v>0.16610256590972414</c:v>
                </c:pt>
                <c:pt idx="23">
                  <c:v>0.16306393417029499</c:v>
                </c:pt>
                <c:pt idx="24">
                  <c:v>0.16034515840343738</c:v>
                </c:pt>
                <c:pt idx="25">
                  <c:v>0.1578982602132655</c:v>
                </c:pt>
                <c:pt idx="26">
                  <c:v>0.15568439994596717</c:v>
                </c:pt>
                <c:pt idx="27">
                  <c:v>0.15367179970296863</c:v>
                </c:pt>
                <c:pt idx="28">
                  <c:v>0.15183420817675261</c:v>
                </c:pt>
                <c:pt idx="29">
                  <c:v>0.15014974927772123</c:v>
                </c:pt>
                <c:pt idx="30">
                  <c:v>0.14860004709061242</c:v>
                </c:pt>
                <c:pt idx="31">
                  <c:v>0.14716955276405039</c:v>
                </c:pt>
                <c:pt idx="32">
                  <c:v>0.14584502098019667</c:v>
                </c:pt>
                <c:pt idx="33">
                  <c:v>0.14461509860947538</c:v>
                </c:pt>
                <c:pt idx="34">
                  <c:v>0.14346999847121761</c:v>
                </c:pt>
                <c:pt idx="35">
                  <c:v>0.14240123834217699</c:v>
                </c:pt>
                <c:pt idx="36">
                  <c:v>0.14140143047952614</c:v>
                </c:pt>
                <c:pt idx="37">
                  <c:v>0.14046411060829092</c:v>
                </c:pt>
                <c:pt idx="38">
                  <c:v>0.13958359800197909</c:v>
                </c:pt>
                <c:pt idx="39">
                  <c:v>0.13875488025486205</c:v>
                </c:pt>
                <c:pt idx="40">
                  <c:v>0.1379735178075803</c:v>
                </c:pt>
              </c:numCache>
            </c:numRef>
          </c:yVal>
          <c:smooth val="0"/>
          <c:extLst>
            <c:ext xmlns:c16="http://schemas.microsoft.com/office/drawing/2014/chart" uri="{C3380CC4-5D6E-409C-BE32-E72D297353CC}">
              <c16:uniqueId val="{00000001-2A5C-44D5-8C79-0C27195B01DE}"/>
            </c:ext>
          </c:extLst>
        </c:ser>
        <c:ser>
          <c:idx val="2"/>
          <c:order val="2"/>
          <c:tx>
            <c:strRef>
              <c:f>'Gasoline and electric vehicles'!$AZ$5</c:f>
              <c:strCache>
                <c:ptCount val="1"/>
                <c:pt idx="0">
                  <c:v>Electric Vehicle - Wind</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'Gasoline and electric vehicles'!$AW$6:$AW$46</c:f>
              <c:numCache>
                <c:formatCode>General</c:formatCode>
                <c:ptCount val="41"/>
                <c:pt idx="0">
                  <c:v>0.01</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vehicles'!$AZ$6:$AZ$46</c:f>
              <c:numCache>
                <c:formatCode>0.00E+00</c:formatCode>
                <c:ptCount val="41"/>
                <c:pt idx="0" formatCode="General">
                  <c:v>929821.31226530997</c:v>
                </c:pt>
                <c:pt idx="1">
                  <c:v>9.3019783295530996</c:v>
                </c:pt>
                <c:pt idx="2">
                  <c:v>4.6528717682265492</c:v>
                </c:pt>
                <c:pt idx="3">
                  <c:v>3.1031695811177</c:v>
                </c:pt>
                <c:pt idx="4">
                  <c:v>1.8634078314306199</c:v>
                </c:pt>
                <c:pt idx="5">
                  <c:v>1.3320813672790142</c:v>
                </c:pt>
                <c:pt idx="6">
                  <c:v>0.93358651916530999</c:v>
                </c:pt>
                <c:pt idx="7">
                  <c:v>0.46867586303265496</c:v>
                </c:pt>
                <c:pt idx="8">
                  <c:v>0.31370564432177001</c:v>
                </c:pt>
                <c:pt idx="9">
                  <c:v>0.23622053496632753</c:v>
                </c:pt>
                <c:pt idx="10">
                  <c:v>0.18972946935306201</c:v>
                </c:pt>
                <c:pt idx="11">
                  <c:v>0.15873542561088499</c:v>
                </c:pt>
                <c:pt idx="12">
                  <c:v>0.13659682293790143</c:v>
                </c:pt>
                <c:pt idx="13">
                  <c:v>0.11999287093316376</c:v>
                </c:pt>
                <c:pt idx="14">
                  <c:v>0.10707868604059</c:v>
                </c:pt>
                <c:pt idx="15">
                  <c:v>9.6747338126530996E-2</c:v>
                </c:pt>
                <c:pt idx="16">
                  <c:v>8.8294417105937259E-2</c:v>
                </c:pt>
                <c:pt idx="17">
                  <c:v>8.1250316255442503E-2</c:v>
                </c:pt>
                <c:pt idx="18">
                  <c:v>7.5289923228100769E-2</c:v>
                </c:pt>
                <c:pt idx="19">
                  <c:v>7.0181014918950721E-2</c:v>
                </c:pt>
                <c:pt idx="20">
                  <c:v>6.5753294384353997E-2</c:v>
                </c:pt>
                <c:pt idx="21">
                  <c:v>6.1879038916581877E-2</c:v>
                </c:pt>
                <c:pt idx="22">
                  <c:v>5.8460578209724112E-2</c:v>
                </c:pt>
                <c:pt idx="23">
                  <c:v>5.5421946470294997E-2</c:v>
                </c:pt>
                <c:pt idx="24">
                  <c:v>5.2703170703437371E-2</c:v>
                </c:pt>
                <c:pt idx="25">
                  <c:v>5.0256272513265504E-2</c:v>
                </c:pt>
                <c:pt idx="26">
                  <c:v>4.8042412245967142E-2</c:v>
                </c:pt>
                <c:pt idx="27">
                  <c:v>4.6029812002968636E-2</c:v>
                </c:pt>
                <c:pt idx="28">
                  <c:v>4.4192220476752607E-2</c:v>
                </c:pt>
                <c:pt idx="29">
                  <c:v>4.2507761577721251E-2</c:v>
                </c:pt>
                <c:pt idx="30">
                  <c:v>4.0958059390612395E-2</c:v>
                </c:pt>
                <c:pt idx="31">
                  <c:v>3.9527565064050384E-2</c:v>
                </c:pt>
                <c:pt idx="32">
                  <c:v>3.8203033280196669E-2</c:v>
                </c:pt>
                <c:pt idx="33">
                  <c:v>3.697311090947536E-2</c:v>
                </c:pt>
                <c:pt idx="34">
                  <c:v>3.582801077121759E-2</c:v>
                </c:pt>
                <c:pt idx="35">
                  <c:v>3.4759250642176998E-2</c:v>
                </c:pt>
                <c:pt idx="36">
                  <c:v>3.3759442779526132E-2</c:v>
                </c:pt>
                <c:pt idx="37">
                  <c:v>3.2822122908290938E-2</c:v>
                </c:pt>
                <c:pt idx="38">
                  <c:v>3.194161030197909E-2</c:v>
                </c:pt>
                <c:pt idx="39">
                  <c:v>3.1112892554862062E-2</c:v>
                </c:pt>
                <c:pt idx="40">
                  <c:v>3.0331530107580287E-2</c:v>
                </c:pt>
              </c:numCache>
            </c:numRef>
          </c:yVal>
          <c:smooth val="0"/>
          <c:extLst>
            <c:ext xmlns:c16="http://schemas.microsoft.com/office/drawing/2014/chart" uri="{C3380CC4-5D6E-409C-BE32-E72D297353CC}">
              <c16:uniqueId val="{00000002-2A5C-44D5-8C79-0C27195B01DE}"/>
            </c:ext>
          </c:extLst>
        </c:ser>
        <c:ser>
          <c:idx val="3"/>
          <c:order val="3"/>
          <c:tx>
            <c:strRef>
              <c:f>'Gasoline and electric vehicles'!$BA$5</c:f>
              <c:strCache>
                <c:ptCount val="1"/>
                <c:pt idx="0">
                  <c:v>Electric Vehicle - Photovoltaic</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'Gasoline and electric vehicles'!$AW$6:$AW$46</c:f>
              <c:numCache>
                <c:formatCode>General</c:formatCode>
                <c:ptCount val="41"/>
                <c:pt idx="0">
                  <c:v>0.01</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vehicles'!$BA$6:$BA$46</c:f>
              <c:numCache>
                <c:formatCode>0.00E+00</c:formatCode>
                <c:ptCount val="41"/>
                <c:pt idx="0" formatCode="General">
                  <c:v>929821.31226530997</c:v>
                </c:pt>
                <c:pt idx="1">
                  <c:v>9.3185218414731015</c:v>
                </c:pt>
                <c:pt idx="2">
                  <c:v>4.6694152801465494</c:v>
                </c:pt>
                <c:pt idx="3">
                  <c:v>3.1197130930377002</c:v>
                </c:pt>
                <c:pt idx="4">
                  <c:v>1.8799513433506199</c:v>
                </c:pt>
                <c:pt idx="5">
                  <c:v>1.3486248791990141</c:v>
                </c:pt>
                <c:pt idx="6">
                  <c:v>0.95013003108530991</c:v>
                </c:pt>
                <c:pt idx="7">
                  <c:v>0.48521937495265499</c:v>
                </c:pt>
                <c:pt idx="8">
                  <c:v>0.33024915624176998</c:v>
                </c:pt>
                <c:pt idx="9">
                  <c:v>0.25276404688632753</c:v>
                </c:pt>
                <c:pt idx="10">
                  <c:v>0.20627298127306198</c:v>
                </c:pt>
                <c:pt idx="11">
                  <c:v>0.17527893753088503</c:v>
                </c:pt>
                <c:pt idx="12">
                  <c:v>0.15314033485790143</c:v>
                </c:pt>
                <c:pt idx="13">
                  <c:v>0.13653638285316375</c:v>
                </c:pt>
                <c:pt idx="14">
                  <c:v>0.12362219796059</c:v>
                </c:pt>
                <c:pt idx="15">
                  <c:v>0.113290850046531</c:v>
                </c:pt>
                <c:pt idx="16">
                  <c:v>0.10483792902593728</c:v>
                </c:pt>
                <c:pt idx="17">
                  <c:v>9.7793828175442493E-2</c:v>
                </c:pt>
                <c:pt idx="18">
                  <c:v>9.1833435148100759E-2</c:v>
                </c:pt>
                <c:pt idx="19">
                  <c:v>8.6724526838950711E-2</c:v>
                </c:pt>
                <c:pt idx="20">
                  <c:v>8.2296806304354E-2</c:v>
                </c:pt>
                <c:pt idx="21">
                  <c:v>7.8422550836581881E-2</c:v>
                </c:pt>
                <c:pt idx="22">
                  <c:v>7.5004090129724116E-2</c:v>
                </c:pt>
                <c:pt idx="23">
                  <c:v>7.1965458390294987E-2</c:v>
                </c:pt>
                <c:pt idx="24">
                  <c:v>6.9246682623437361E-2</c:v>
                </c:pt>
                <c:pt idx="25">
                  <c:v>6.6799784433265508E-2</c:v>
                </c:pt>
                <c:pt idx="26">
                  <c:v>6.4585924165967146E-2</c:v>
                </c:pt>
                <c:pt idx="27">
                  <c:v>6.2573323922968632E-2</c:v>
                </c:pt>
                <c:pt idx="28">
                  <c:v>6.0735732396752604E-2</c:v>
                </c:pt>
                <c:pt idx="29">
                  <c:v>5.9051273497721248E-2</c:v>
                </c:pt>
                <c:pt idx="30">
                  <c:v>5.7501571310612405E-2</c:v>
                </c:pt>
                <c:pt idx="31">
                  <c:v>5.607107698405038E-2</c:v>
                </c:pt>
                <c:pt idx="32">
                  <c:v>5.4746545200196665E-2</c:v>
                </c:pt>
                <c:pt idx="33">
                  <c:v>5.3516622829475356E-2</c:v>
                </c:pt>
                <c:pt idx="34">
                  <c:v>5.2371522691217587E-2</c:v>
                </c:pt>
                <c:pt idx="35">
                  <c:v>5.1302762562177001E-2</c:v>
                </c:pt>
                <c:pt idx="36">
                  <c:v>5.0302954699526128E-2</c:v>
                </c:pt>
                <c:pt idx="37">
                  <c:v>4.9365634828290934E-2</c:v>
                </c:pt>
                <c:pt idx="38">
                  <c:v>4.8485122221979093E-2</c:v>
                </c:pt>
                <c:pt idx="39">
                  <c:v>4.7656404474862059E-2</c:v>
                </c:pt>
                <c:pt idx="40">
                  <c:v>4.6875042027580284E-2</c:v>
                </c:pt>
              </c:numCache>
            </c:numRef>
          </c:yVal>
          <c:smooth val="0"/>
          <c:extLst>
            <c:ext xmlns:c16="http://schemas.microsoft.com/office/drawing/2014/chart" uri="{C3380CC4-5D6E-409C-BE32-E72D297353CC}">
              <c16:uniqueId val="{00000003-2A5C-44D5-8C79-0C27195B01DE}"/>
            </c:ext>
          </c:extLst>
        </c:ser>
        <c:ser>
          <c:idx val="4"/>
          <c:order val="4"/>
          <c:tx>
            <c:strRef>
              <c:f>'Gasoline and electric vehicles'!$BB$5</c:f>
              <c:strCache>
                <c:ptCount val="1"/>
                <c:pt idx="0">
                  <c:v>Electric Vehicle - Hard coal</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'Gasoline and electric vehicles'!$AW$6:$AW$46</c:f>
              <c:numCache>
                <c:formatCode>General</c:formatCode>
                <c:ptCount val="41"/>
                <c:pt idx="0">
                  <c:v>0.01</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vehicles'!$BB$6:$BB$46</c:f>
              <c:numCache>
                <c:formatCode>0.00E+00</c:formatCode>
                <c:ptCount val="41"/>
                <c:pt idx="0" formatCode="General">
                  <c:v>929821.31226530997</c:v>
                </c:pt>
                <c:pt idx="1">
                  <c:v>9.5605487806531002</c:v>
                </c:pt>
                <c:pt idx="2">
                  <c:v>4.9114422193265499</c:v>
                </c:pt>
                <c:pt idx="3">
                  <c:v>3.3617400322176998</c:v>
                </c:pt>
                <c:pt idx="4">
                  <c:v>2.1219782825306202</c:v>
                </c:pt>
                <c:pt idx="5">
                  <c:v>1.5906518183790144</c:v>
                </c:pt>
                <c:pt idx="6">
                  <c:v>1.1921569702653099</c:v>
                </c:pt>
                <c:pt idx="7">
                  <c:v>0.72724631413265495</c:v>
                </c:pt>
                <c:pt idx="8">
                  <c:v>0.57227609542176994</c:v>
                </c:pt>
                <c:pt idx="9">
                  <c:v>0.49479098606632743</c:v>
                </c:pt>
                <c:pt idx="10">
                  <c:v>0.44829992045306194</c:v>
                </c:pt>
                <c:pt idx="11">
                  <c:v>0.41730587671088493</c:v>
                </c:pt>
                <c:pt idx="12">
                  <c:v>0.39516727403790136</c:v>
                </c:pt>
                <c:pt idx="13">
                  <c:v>0.37856332203316367</c:v>
                </c:pt>
                <c:pt idx="14">
                  <c:v>0.36564913714058994</c:v>
                </c:pt>
                <c:pt idx="15">
                  <c:v>0.35531778922653096</c:v>
                </c:pt>
                <c:pt idx="16">
                  <c:v>0.3468648682059372</c:v>
                </c:pt>
                <c:pt idx="17">
                  <c:v>0.33982076735544248</c:v>
                </c:pt>
                <c:pt idx="18">
                  <c:v>0.33386037432810073</c:v>
                </c:pt>
                <c:pt idx="19">
                  <c:v>0.32875146601895067</c:v>
                </c:pt>
                <c:pt idx="20">
                  <c:v>0.32432374548435394</c:v>
                </c:pt>
                <c:pt idx="21">
                  <c:v>0.32044949001658185</c:v>
                </c:pt>
                <c:pt idx="22">
                  <c:v>0.3170310293097241</c:v>
                </c:pt>
                <c:pt idx="23">
                  <c:v>0.31399239757029496</c:v>
                </c:pt>
                <c:pt idx="24">
                  <c:v>0.31127362180343732</c:v>
                </c:pt>
                <c:pt idx="25">
                  <c:v>0.30882672361326546</c:v>
                </c:pt>
                <c:pt idx="26">
                  <c:v>0.3066128633459671</c:v>
                </c:pt>
                <c:pt idx="27">
                  <c:v>0.30460026310296862</c:v>
                </c:pt>
                <c:pt idx="28">
                  <c:v>0.30276267157675257</c:v>
                </c:pt>
                <c:pt idx="29">
                  <c:v>0.30107821267772122</c:v>
                </c:pt>
                <c:pt idx="30">
                  <c:v>0.29952851049061241</c:v>
                </c:pt>
                <c:pt idx="31">
                  <c:v>0.29809801616405035</c:v>
                </c:pt>
                <c:pt idx="32">
                  <c:v>0.29677348438019668</c:v>
                </c:pt>
                <c:pt idx="33">
                  <c:v>0.29554356200947535</c:v>
                </c:pt>
                <c:pt idx="34">
                  <c:v>0.2943984618712176</c:v>
                </c:pt>
                <c:pt idx="35">
                  <c:v>0.29332970174217698</c:v>
                </c:pt>
                <c:pt idx="36">
                  <c:v>0.29232989387952613</c:v>
                </c:pt>
                <c:pt idx="37">
                  <c:v>0.29139257400829094</c:v>
                </c:pt>
                <c:pt idx="38">
                  <c:v>0.2905120614019791</c:v>
                </c:pt>
                <c:pt idx="39">
                  <c:v>0.28968334365486204</c:v>
                </c:pt>
                <c:pt idx="40">
                  <c:v>0.28890198120758032</c:v>
                </c:pt>
              </c:numCache>
            </c:numRef>
          </c:yVal>
          <c:smooth val="0"/>
          <c:extLst>
            <c:ext xmlns:c16="http://schemas.microsoft.com/office/drawing/2014/chart" uri="{C3380CC4-5D6E-409C-BE32-E72D297353CC}">
              <c16:uniqueId val="{00000000-5B6F-44A5-8132-C6EE024945D9}"/>
            </c:ext>
          </c:extLst>
        </c:ser>
        <c:dLbls>
          <c:showLegendKey val="0"/>
          <c:showVal val="0"/>
          <c:showCatName val="0"/>
          <c:showSerName val="0"/>
          <c:showPercent val="0"/>
          <c:showBubbleSize val="0"/>
        </c:dLbls>
        <c:axId val="1272765120"/>
        <c:axId val="1272756960"/>
      </c:scatterChart>
      <c:valAx>
        <c:axId val="1272765120"/>
        <c:scaling>
          <c:orientation val="minMax"/>
          <c:max val="35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Distance over car lifetime</a:t>
                </a:r>
              </a:p>
            </c:rich>
          </c:tx>
          <c:layout>
            <c:manualLayout>
              <c:xMode val="edge"/>
              <c:yMode val="edge"/>
              <c:x val="0.46655525309712603"/>
              <c:y val="0.88579943698747499"/>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272756960"/>
        <c:crosses val="autoZero"/>
        <c:crossBetween val="midCat"/>
      </c:valAx>
      <c:valAx>
        <c:axId val="1272756960"/>
        <c:scaling>
          <c:orientation val="minMax"/>
          <c:max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baseline="0">
                    <a:solidFill>
                      <a:sysClr val="windowText" lastClr="000000">
                        <a:lumMod val="65000"/>
                        <a:lumOff val="35000"/>
                      </a:sysClr>
                    </a:solidFill>
                    <a:latin typeface="+mn-lt"/>
                    <a:ea typeface="+mn-ea"/>
                    <a:cs typeface="+mn-cs"/>
                  </a:defRPr>
                </a:pPr>
                <a:r>
                  <a:rPr lang="en-US" sz="1800" b="0" i="0" baseline="0">
                    <a:effectLst/>
                  </a:rPr>
                  <a:t>kg fossil CO2/V-km </a:t>
                </a:r>
                <a:endParaRPr lang="en-US" sz="2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2000">
                    <a:solidFill>
                      <a:sysClr val="windowText" lastClr="000000">
                        <a:lumMod val="65000"/>
                        <a:lumOff val="35000"/>
                      </a:sysClr>
                    </a:solidFill>
                  </a:defRPr>
                </a:pPr>
                <a:endParaRPr lang="en-US" sz="2000"/>
              </a:p>
            </c:rich>
          </c:tx>
          <c:layout>
            <c:manualLayout>
              <c:xMode val="edge"/>
              <c:yMode val="edge"/>
              <c:x val="7.9936051159072742E-3"/>
              <c:y val="0.3539004256592278"/>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272765120"/>
        <c:crosses val="autoZero"/>
        <c:crossBetween val="midCat"/>
      </c:valAx>
      <c:spPr>
        <a:noFill/>
        <a:ln>
          <a:noFill/>
        </a:ln>
        <a:effectLst/>
      </c:spPr>
    </c:plotArea>
    <c:legend>
      <c:legendPos val="b"/>
      <c:layout>
        <c:manualLayout>
          <c:xMode val="edge"/>
          <c:yMode val="edge"/>
          <c:x val="0.11251546794060814"/>
          <c:y val="0.94070009383542075"/>
          <c:w val="0.77337028015382969"/>
          <c:h val="4.8937211864061032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Comparison of Global Warming</a:t>
            </a:r>
            <a:r>
              <a:rPr lang="en-US" sz="2400" baseline="0"/>
              <a:t> score kgCO2equ</a:t>
            </a:r>
            <a:endParaRPr lang="en-US" sz="2400"/>
          </a:p>
        </c:rich>
      </c:tx>
      <c:layout>
        <c:manualLayout>
          <c:xMode val="edge"/>
          <c:yMode val="edge"/>
          <c:x val="0.3803448450824381"/>
          <c:y val="3.1758130081300816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268636914319852"/>
          <c:y val="0.13401987353206865"/>
          <c:w val="0.69516983218493889"/>
          <c:h val="0.52304079763048894"/>
        </c:manualLayout>
      </c:layout>
      <c:barChart>
        <c:barDir val="col"/>
        <c:grouping val="stacked"/>
        <c:varyColors val="0"/>
        <c:ser>
          <c:idx val="0"/>
          <c:order val="0"/>
          <c:tx>
            <c:strRef>
              <c:f>'Gasoline and electric vehicles'!$AD$6</c:f>
              <c:strCache>
                <c:ptCount val="1"/>
                <c:pt idx="0">
                  <c:v>Car manufacturing</c:v>
                </c:pt>
              </c:strCache>
            </c:strRef>
          </c:tx>
          <c:spPr>
            <a:solidFill>
              <a:schemeClr val="accent1"/>
            </a:solidFill>
            <a:ln>
              <a:noFill/>
            </a:ln>
            <a:effectLst/>
          </c:spPr>
          <c:invertIfNegative val="0"/>
          <c:cat>
            <c:strRef>
              <c:f>'Gasoline and electric vehicles'!$AE$5:$AM$5</c:f>
              <c:strCache>
                <c:ptCount val="9"/>
                <c:pt idx="0">
                  <c:v>Gas Vehicle</c:v>
                </c:pt>
                <c:pt idx="2">
                  <c:v>Electric Vehicle - EU mix</c:v>
                </c:pt>
                <c:pt idx="4">
                  <c:v>Electric Vehicle - Wind</c:v>
                </c:pt>
                <c:pt idx="6">
                  <c:v>Electric Vehicle - Photovoltaic</c:v>
                </c:pt>
                <c:pt idx="8">
                  <c:v>Electric Vehicle - 
hard coal</c:v>
                </c:pt>
              </c:strCache>
            </c:strRef>
          </c:cat>
          <c:val>
            <c:numRef>
              <c:f>'Gasoline and electric vehicles'!$AE$6:$AM$6</c:f>
              <c:numCache>
                <c:formatCode>0.00E+00</c:formatCode>
                <c:ptCount val="9"/>
                <c:pt idx="0">
                  <c:v>3.89140348724226E-2</c:v>
                </c:pt>
                <c:pt idx="2">
                  <c:v>4.0770920350800002E-2</c:v>
                </c:pt>
                <c:pt idx="4">
                  <c:v>4.0770920350800002E-2</c:v>
                </c:pt>
                <c:pt idx="6">
                  <c:v>4.0770920350800002E-2</c:v>
                </c:pt>
                <c:pt idx="8">
                  <c:v>4.0770920350800002E-2</c:v>
                </c:pt>
              </c:numCache>
            </c:numRef>
          </c:val>
          <c:extLst>
            <c:ext xmlns:c16="http://schemas.microsoft.com/office/drawing/2014/chart" uri="{C3380CC4-5D6E-409C-BE32-E72D297353CC}">
              <c16:uniqueId val="{00000000-87DB-4523-B1A5-3177614F0D97}"/>
            </c:ext>
          </c:extLst>
        </c:ser>
        <c:ser>
          <c:idx val="1"/>
          <c:order val="1"/>
          <c:tx>
            <c:strRef>
              <c:f>'Gasoline and electric vehicles'!$AD$7</c:f>
              <c:strCache>
                <c:ptCount val="1"/>
                <c:pt idx="0">
                  <c:v>Car transportation</c:v>
                </c:pt>
              </c:strCache>
            </c:strRef>
          </c:tx>
          <c:spPr>
            <a:solidFill>
              <a:schemeClr val="accent2"/>
            </a:solidFill>
            <a:ln>
              <a:noFill/>
            </a:ln>
            <a:effectLst/>
          </c:spPr>
          <c:invertIfNegative val="0"/>
          <c:cat>
            <c:strRef>
              <c:f>'Gasoline and electric vehicles'!$AE$5:$AM$5</c:f>
              <c:strCache>
                <c:ptCount val="9"/>
                <c:pt idx="0">
                  <c:v>Gas Vehicle</c:v>
                </c:pt>
                <c:pt idx="2">
                  <c:v>Electric Vehicle - EU mix</c:v>
                </c:pt>
                <c:pt idx="4">
                  <c:v>Electric Vehicle - Wind</c:v>
                </c:pt>
                <c:pt idx="6">
                  <c:v>Electric Vehicle - Photovoltaic</c:v>
                </c:pt>
                <c:pt idx="8">
                  <c:v>Electric Vehicle - 
hard coal</c:v>
                </c:pt>
              </c:strCache>
            </c:strRef>
          </c:cat>
          <c:val>
            <c:numRef>
              <c:f>'Gasoline and electric vehicles'!$AE$7:$AM$7</c:f>
              <c:numCache>
                <c:formatCode>0.00E+00</c:formatCode>
                <c:ptCount val="9"/>
                <c:pt idx="0">
                  <c:v>8.8600505654333331E-4</c:v>
                </c:pt>
                <c:pt idx="2">
                  <c:v>5.5447130543600002E-4</c:v>
                </c:pt>
                <c:pt idx="4">
                  <c:v>5.5447130543600002E-4</c:v>
                </c:pt>
                <c:pt idx="6">
                  <c:v>5.5447130543600002E-4</c:v>
                </c:pt>
                <c:pt idx="8">
                  <c:v>5.5447130543600002E-4</c:v>
                </c:pt>
              </c:numCache>
            </c:numRef>
          </c:val>
          <c:extLst>
            <c:ext xmlns:c16="http://schemas.microsoft.com/office/drawing/2014/chart" uri="{C3380CC4-5D6E-409C-BE32-E72D297353CC}">
              <c16:uniqueId val="{00000001-87DB-4523-B1A5-3177614F0D97}"/>
            </c:ext>
          </c:extLst>
        </c:ser>
        <c:ser>
          <c:idx val="2"/>
          <c:order val="2"/>
          <c:tx>
            <c:strRef>
              <c:f>'Gasoline and electric vehicles'!$AD$8</c:f>
              <c:strCache>
                <c:ptCount val="1"/>
                <c:pt idx="0">
                  <c:v>Car disposal</c:v>
                </c:pt>
              </c:strCache>
            </c:strRef>
          </c:tx>
          <c:spPr>
            <a:solidFill>
              <a:schemeClr val="accent3"/>
            </a:solidFill>
            <a:ln>
              <a:noFill/>
            </a:ln>
            <a:effectLst/>
          </c:spPr>
          <c:invertIfNegative val="0"/>
          <c:cat>
            <c:strRef>
              <c:f>'Gasoline and electric vehicles'!$AE$5:$AM$5</c:f>
              <c:strCache>
                <c:ptCount val="9"/>
                <c:pt idx="0">
                  <c:v>Gas Vehicle</c:v>
                </c:pt>
                <c:pt idx="2">
                  <c:v>Electric Vehicle - EU mix</c:v>
                </c:pt>
                <c:pt idx="4">
                  <c:v>Electric Vehicle - Wind</c:v>
                </c:pt>
                <c:pt idx="6">
                  <c:v>Electric Vehicle - Photovoltaic</c:v>
                </c:pt>
                <c:pt idx="8">
                  <c:v>Electric Vehicle - 
hard coal</c:v>
                </c:pt>
              </c:strCache>
            </c:strRef>
          </c:cat>
          <c:val>
            <c:numRef>
              <c:f>'Gasoline and electric vehicles'!$AE$8:$AM$8</c:f>
              <c:numCache>
                <c:formatCode>0.00E+00</c:formatCode>
                <c:ptCount val="9"/>
                <c:pt idx="0">
                  <c:v>1.1135381974693331E-3</c:v>
                </c:pt>
                <c:pt idx="2">
                  <c:v>1.3944219403600001E-4</c:v>
                </c:pt>
                <c:pt idx="4">
                  <c:v>1.3944219403600001E-4</c:v>
                </c:pt>
                <c:pt idx="6">
                  <c:v>1.3944219403600001E-4</c:v>
                </c:pt>
                <c:pt idx="8">
                  <c:v>1.3944219403600001E-4</c:v>
                </c:pt>
              </c:numCache>
            </c:numRef>
          </c:val>
          <c:extLst>
            <c:ext xmlns:c16="http://schemas.microsoft.com/office/drawing/2014/chart" uri="{C3380CC4-5D6E-409C-BE32-E72D297353CC}">
              <c16:uniqueId val="{00000002-87DB-4523-B1A5-3177614F0D97}"/>
            </c:ext>
          </c:extLst>
        </c:ser>
        <c:ser>
          <c:idx val="5"/>
          <c:order val="3"/>
          <c:tx>
            <c:strRef>
              <c:f>'Gasoline and electric vehicles'!$AD$9</c:f>
              <c:strCache>
                <c:ptCount val="1"/>
                <c:pt idx="0">
                  <c:v>Petrol gas </c:v>
                </c:pt>
              </c:strCache>
            </c:strRef>
          </c:tx>
          <c:spPr>
            <a:solidFill>
              <a:schemeClr val="accent6"/>
            </a:solidFill>
            <a:ln>
              <a:noFill/>
            </a:ln>
            <a:effectLst/>
          </c:spPr>
          <c:invertIfNegative val="0"/>
          <c:cat>
            <c:strRef>
              <c:f>'Gasoline and electric vehicles'!$AE$5:$AM$5</c:f>
              <c:strCache>
                <c:ptCount val="9"/>
                <c:pt idx="0">
                  <c:v>Gas Vehicle</c:v>
                </c:pt>
                <c:pt idx="2">
                  <c:v>Electric Vehicle - EU mix</c:v>
                </c:pt>
                <c:pt idx="4">
                  <c:v>Electric Vehicle - Wind</c:v>
                </c:pt>
                <c:pt idx="6">
                  <c:v>Electric Vehicle - Photovoltaic</c:v>
                </c:pt>
                <c:pt idx="8">
                  <c:v>Electric Vehicle - 
hard coal</c:v>
                </c:pt>
              </c:strCache>
            </c:strRef>
          </c:cat>
          <c:val>
            <c:numRef>
              <c:f>'Gasoline and electric vehicles'!$AE$9:$AM$9</c:f>
              <c:numCache>
                <c:formatCode>0.000</c:formatCode>
                <c:ptCount val="9"/>
                <c:pt idx="0">
                  <c:v>0.23210109519047617</c:v>
                </c:pt>
              </c:numCache>
            </c:numRef>
          </c:val>
          <c:extLst>
            <c:ext xmlns:c16="http://schemas.microsoft.com/office/drawing/2014/chart" uri="{C3380CC4-5D6E-409C-BE32-E72D297353CC}">
              <c16:uniqueId val="{00000003-87DB-4523-B1A5-3177614F0D97}"/>
            </c:ext>
          </c:extLst>
        </c:ser>
        <c:ser>
          <c:idx val="6"/>
          <c:order val="4"/>
          <c:tx>
            <c:strRef>
              <c:f>'Gasoline and electric vehicles'!$AD$10</c:f>
              <c:strCache>
                <c:ptCount val="1"/>
                <c:pt idx="0">
                  <c:v>Electric charging - RER</c:v>
                </c:pt>
              </c:strCache>
            </c:strRef>
          </c:tx>
          <c:spPr>
            <a:solidFill>
              <a:schemeClr val="accent1">
                <a:lumMod val="60000"/>
              </a:schemeClr>
            </a:solidFill>
            <a:ln>
              <a:noFill/>
            </a:ln>
            <a:effectLst/>
          </c:spPr>
          <c:invertIfNegative val="0"/>
          <c:cat>
            <c:strRef>
              <c:f>'Gasoline and electric vehicles'!$AE$5:$AM$5</c:f>
              <c:strCache>
                <c:ptCount val="9"/>
                <c:pt idx="0">
                  <c:v>Gas Vehicle</c:v>
                </c:pt>
                <c:pt idx="2">
                  <c:v>Electric Vehicle - EU mix</c:v>
                </c:pt>
                <c:pt idx="4">
                  <c:v>Electric Vehicle - Wind</c:v>
                </c:pt>
                <c:pt idx="6">
                  <c:v>Electric Vehicle - Photovoltaic</c:v>
                </c:pt>
                <c:pt idx="8">
                  <c:v>Electric Vehicle - 
hard coal</c:v>
                </c:pt>
              </c:strCache>
            </c:strRef>
          </c:cat>
          <c:val>
            <c:numRef>
              <c:f>'Gasoline and electric vehicles'!$AE$10:$AM$10</c:f>
              <c:numCache>
                <c:formatCode>General</c:formatCode>
                <c:ptCount val="9"/>
                <c:pt idx="2" formatCode="0.000">
                  <c:v>0.11140719460000001</c:v>
                </c:pt>
              </c:numCache>
            </c:numRef>
          </c:val>
          <c:extLst>
            <c:ext xmlns:c16="http://schemas.microsoft.com/office/drawing/2014/chart" uri="{C3380CC4-5D6E-409C-BE32-E72D297353CC}">
              <c16:uniqueId val="{00000004-87DB-4523-B1A5-3177614F0D97}"/>
            </c:ext>
          </c:extLst>
        </c:ser>
        <c:ser>
          <c:idx val="3"/>
          <c:order val="6"/>
          <c:tx>
            <c:strRef>
              <c:f>'Gasoline and electric vehicles'!$AD$12</c:f>
              <c:strCache>
                <c:ptCount val="1"/>
                <c:pt idx="0">
                  <c:v>Electric charging - photovoltaic</c:v>
                </c:pt>
              </c:strCache>
            </c:strRef>
          </c:tx>
          <c:spPr>
            <a:solidFill>
              <a:schemeClr val="accent4"/>
            </a:solidFill>
            <a:ln>
              <a:noFill/>
            </a:ln>
            <a:effectLst/>
          </c:spPr>
          <c:invertIfNegative val="0"/>
          <c:cat>
            <c:strRef>
              <c:f>'Gasoline and electric vehicles'!$AE$5:$AM$5</c:f>
              <c:strCache>
                <c:ptCount val="9"/>
                <c:pt idx="0">
                  <c:v>Gas Vehicle</c:v>
                </c:pt>
                <c:pt idx="2">
                  <c:v>Electric Vehicle - EU mix</c:v>
                </c:pt>
                <c:pt idx="4">
                  <c:v>Electric Vehicle - Wind</c:v>
                </c:pt>
                <c:pt idx="6">
                  <c:v>Electric Vehicle - Photovoltaic</c:v>
                </c:pt>
                <c:pt idx="8">
                  <c:v>Electric Vehicle - 
hard coal</c:v>
                </c:pt>
              </c:strCache>
            </c:strRef>
          </c:cat>
          <c:val>
            <c:numRef>
              <c:f>'Gasoline and electric vehicles'!$AE$12:$AM$12</c:f>
              <c:numCache>
                <c:formatCode>General</c:formatCode>
                <c:ptCount val="9"/>
                <c:pt idx="6" formatCode="0.000">
                  <c:v>2.0308718819999998E-2</c:v>
                </c:pt>
              </c:numCache>
            </c:numRef>
          </c:val>
          <c:extLst>
            <c:ext xmlns:c16="http://schemas.microsoft.com/office/drawing/2014/chart" uri="{C3380CC4-5D6E-409C-BE32-E72D297353CC}">
              <c16:uniqueId val="{00000005-87DB-4523-B1A5-3177614F0D97}"/>
            </c:ext>
          </c:extLst>
        </c:ser>
        <c:ser>
          <c:idx val="7"/>
          <c:order val="5"/>
          <c:tx>
            <c:strRef>
              <c:f>'Gasoline and electric vehicles'!$AD$11</c:f>
              <c:strCache>
                <c:ptCount val="1"/>
                <c:pt idx="0">
                  <c:v>Electric charging - wind</c:v>
                </c:pt>
              </c:strCache>
            </c:strRef>
          </c:tx>
          <c:spPr>
            <a:solidFill>
              <a:schemeClr val="accent2">
                <a:lumMod val="60000"/>
              </a:schemeClr>
            </a:solidFill>
            <a:ln>
              <a:noFill/>
            </a:ln>
            <a:effectLst/>
          </c:spPr>
          <c:invertIfNegative val="0"/>
          <c:cat>
            <c:strRef>
              <c:f>'Gasoline and electric vehicles'!$AE$5:$AM$5</c:f>
              <c:strCache>
                <c:ptCount val="9"/>
                <c:pt idx="0">
                  <c:v>Gas Vehicle</c:v>
                </c:pt>
                <c:pt idx="2">
                  <c:v>Electric Vehicle - EU mix</c:v>
                </c:pt>
                <c:pt idx="4">
                  <c:v>Electric Vehicle - Wind</c:v>
                </c:pt>
                <c:pt idx="6">
                  <c:v>Electric Vehicle - Photovoltaic</c:v>
                </c:pt>
                <c:pt idx="8">
                  <c:v>Electric Vehicle - 
hard coal</c:v>
                </c:pt>
              </c:strCache>
            </c:strRef>
          </c:cat>
          <c:val>
            <c:numRef>
              <c:f>'Gasoline and electric vehicles'!$AE$11:$AM$11</c:f>
              <c:numCache>
                <c:formatCode>General</c:formatCode>
                <c:ptCount val="9"/>
                <c:pt idx="4" formatCode="0.0000">
                  <c:v>3.7652069E-3</c:v>
                </c:pt>
              </c:numCache>
            </c:numRef>
          </c:val>
          <c:extLst>
            <c:ext xmlns:c16="http://schemas.microsoft.com/office/drawing/2014/chart" uri="{C3380CC4-5D6E-409C-BE32-E72D297353CC}">
              <c16:uniqueId val="{00000006-87DB-4523-B1A5-3177614F0D97}"/>
            </c:ext>
          </c:extLst>
        </c:ser>
        <c:ser>
          <c:idx val="4"/>
          <c:order val="7"/>
          <c:tx>
            <c:strRef>
              <c:f>'Gasoline and electric vehicles'!$AD$13</c:f>
              <c:strCache>
                <c:ptCount val="1"/>
                <c:pt idx="0">
                  <c:v>Electric charging - hard coal</c:v>
                </c:pt>
              </c:strCache>
            </c:strRef>
          </c:tx>
          <c:spPr>
            <a:solidFill>
              <a:schemeClr val="accent5"/>
            </a:solidFill>
            <a:ln>
              <a:noFill/>
            </a:ln>
            <a:effectLst/>
          </c:spPr>
          <c:invertIfNegative val="0"/>
          <c:cat>
            <c:strRef>
              <c:f>'Gasoline and electric vehicles'!$AE$5:$AM$5</c:f>
              <c:strCache>
                <c:ptCount val="9"/>
                <c:pt idx="0">
                  <c:v>Gas Vehicle</c:v>
                </c:pt>
                <c:pt idx="2">
                  <c:v>Electric Vehicle - EU mix</c:v>
                </c:pt>
                <c:pt idx="4">
                  <c:v>Electric Vehicle - Wind</c:v>
                </c:pt>
                <c:pt idx="6">
                  <c:v>Electric Vehicle - Photovoltaic</c:v>
                </c:pt>
                <c:pt idx="8">
                  <c:v>Electric Vehicle - 
hard coal</c:v>
                </c:pt>
              </c:strCache>
            </c:strRef>
          </c:cat>
          <c:val>
            <c:numRef>
              <c:f>'Gasoline and electric vehicles'!$AE$13:$AM$13</c:f>
              <c:numCache>
                <c:formatCode>General</c:formatCode>
                <c:ptCount val="9"/>
                <c:pt idx="8" formatCode="0.000">
                  <c:v>0.26233565799999997</c:v>
                </c:pt>
              </c:numCache>
            </c:numRef>
          </c:val>
          <c:extLst xmlns:c15="http://schemas.microsoft.com/office/drawing/2012/chart">
            <c:ext xmlns:c16="http://schemas.microsoft.com/office/drawing/2014/chart" uri="{C3380CC4-5D6E-409C-BE32-E72D297353CC}">
              <c16:uniqueId val="{00000007-87DB-4523-B1A5-3177614F0D97}"/>
            </c:ext>
          </c:extLst>
        </c:ser>
        <c:ser>
          <c:idx val="9"/>
          <c:order val="9"/>
          <c:tx>
            <c:strRef>
              <c:f>'Gasoline and electric vehicles'!$AD$15</c:f>
              <c:strCache>
                <c:ptCount val="1"/>
                <c:pt idx="0">
                  <c:v>Climate change, short term - Open LCA</c:v>
                </c:pt>
              </c:strCache>
            </c:strRef>
          </c:tx>
          <c:spPr>
            <a:solidFill>
              <a:schemeClr val="accent4">
                <a:lumMod val="60000"/>
              </a:schemeClr>
            </a:solidFill>
            <a:ln>
              <a:noFill/>
            </a:ln>
            <a:effectLst/>
          </c:spPr>
          <c:invertIfNegative val="0"/>
          <c:cat>
            <c:strRef>
              <c:f>'Gasoline and electric vehicles'!$AE$5:$AM$5</c:f>
              <c:strCache>
                <c:ptCount val="9"/>
                <c:pt idx="0">
                  <c:v>Gas Vehicle</c:v>
                </c:pt>
                <c:pt idx="2">
                  <c:v>Electric Vehicle - EU mix</c:v>
                </c:pt>
                <c:pt idx="4">
                  <c:v>Electric Vehicle - Wind</c:v>
                </c:pt>
                <c:pt idx="6">
                  <c:v>Electric Vehicle - Photovoltaic</c:v>
                </c:pt>
                <c:pt idx="8">
                  <c:v>Electric Vehicle - 
hard coal</c:v>
                </c:pt>
              </c:strCache>
            </c:strRef>
          </c:cat>
          <c:val>
            <c:numRef>
              <c:f>'Gasoline and electric vehicles'!$AE$15:$AM$15</c:f>
              <c:numCache>
                <c:formatCode>0.000</c:formatCode>
                <c:ptCount val="9"/>
                <c:pt idx="1">
                  <c:v>0.273011</c:v>
                </c:pt>
                <c:pt idx="3">
                  <c:v>0.14781</c:v>
                </c:pt>
                <c:pt idx="5">
                  <c:v>3.1087E-2</c:v>
                </c:pt>
                <c:pt idx="7">
                  <c:v>3.9528199999999999E-2</c:v>
                </c:pt>
              </c:numCache>
            </c:numRef>
          </c:val>
          <c:extLst>
            <c:ext xmlns:c16="http://schemas.microsoft.com/office/drawing/2014/chart" uri="{C3380CC4-5D6E-409C-BE32-E72D297353CC}">
              <c16:uniqueId val="{00000000-EB6B-42AB-95AD-D0CA61FF4B0C}"/>
            </c:ext>
          </c:extLst>
        </c:ser>
        <c:dLbls>
          <c:showLegendKey val="0"/>
          <c:showVal val="0"/>
          <c:showCatName val="0"/>
          <c:showSerName val="0"/>
          <c:showPercent val="0"/>
          <c:showBubbleSize val="0"/>
        </c:dLbls>
        <c:gapWidth val="150"/>
        <c:overlap val="100"/>
        <c:axId val="1272769472"/>
        <c:axId val="1272761312"/>
        <c:extLst>
          <c:ext xmlns:c15="http://schemas.microsoft.com/office/drawing/2012/chart" uri="{02D57815-91ED-43cb-92C2-25804820EDAC}">
            <c15:filteredBarSeries>
              <c15:ser>
                <c:idx val="8"/>
                <c:order val="8"/>
                <c:tx>
                  <c:strRef>
                    <c:extLst>
                      <c:ext uri="{02D57815-91ED-43cb-92C2-25804820EDAC}">
                        <c15:formulaRef>
                          <c15:sqref>'Gasoline and electric vehicles'!$AD$14</c15:sqref>
                        </c15:formulaRef>
                      </c:ext>
                    </c:extLst>
                    <c:strCache>
                      <c:ptCount val="1"/>
                      <c:pt idx="0">
                        <c:v>Net value</c:v>
                      </c:pt>
                    </c:strCache>
                  </c:strRef>
                </c:tx>
                <c:spPr>
                  <a:solidFill>
                    <a:schemeClr val="accent3">
                      <a:lumMod val="60000"/>
                    </a:schemeClr>
                  </a:solidFill>
                  <a:ln>
                    <a:noFill/>
                  </a:ln>
                  <a:effectLst/>
                </c:spPr>
                <c:invertIfNegative val="0"/>
                <c:cat>
                  <c:strRef>
                    <c:extLst>
                      <c:ext uri="{02D57815-91ED-43cb-92C2-25804820EDAC}">
                        <c15:formulaRef>
                          <c15:sqref>'Gasoline and electric vehicles'!$AE$5:$AM$5</c15:sqref>
                        </c15:formulaRef>
                      </c:ext>
                    </c:extLst>
                    <c:strCache>
                      <c:ptCount val="9"/>
                      <c:pt idx="0">
                        <c:v>Gas Vehicle</c:v>
                      </c:pt>
                      <c:pt idx="2">
                        <c:v>Electric Vehicle - EU mix</c:v>
                      </c:pt>
                      <c:pt idx="4">
                        <c:v>Electric Vehicle - Wind</c:v>
                      </c:pt>
                      <c:pt idx="6">
                        <c:v>Electric Vehicle - Photovoltaic</c:v>
                      </c:pt>
                      <c:pt idx="8">
                        <c:v>Electric Vehicle - 
hard coal</c:v>
                      </c:pt>
                    </c:strCache>
                  </c:strRef>
                </c:cat>
                <c:val>
                  <c:numRef>
                    <c:extLst>
                      <c:ext uri="{02D57815-91ED-43cb-92C2-25804820EDAC}">
                        <c15:formulaRef>
                          <c15:sqref>'Gasoline and electric vehicles'!$AE$14:$AM$14</c15:sqref>
                        </c15:formulaRef>
                      </c:ext>
                    </c:extLst>
                    <c:numCache>
                      <c:formatCode>0.000</c:formatCode>
                      <c:ptCount val="9"/>
                      <c:pt idx="0">
                        <c:v>0.27301467331691143</c:v>
                      </c:pt>
                      <c:pt idx="2">
                        <c:v>0.15287202845027201</c:v>
                      </c:pt>
                      <c:pt idx="4">
                        <c:v>4.5230040750271996E-2</c:v>
                      </c:pt>
                      <c:pt idx="6">
                        <c:v>6.1773552670272E-2</c:v>
                      </c:pt>
                      <c:pt idx="8">
                        <c:v>0.30380049185027197</c:v>
                      </c:pt>
                    </c:numCache>
                  </c:numRef>
                </c:val>
                <c:extLst>
                  <c:ext xmlns:c16="http://schemas.microsoft.com/office/drawing/2014/chart" uri="{C3380CC4-5D6E-409C-BE32-E72D297353CC}">
                    <c16:uniqueId val="{00000008-87DB-4523-B1A5-3177614F0D97}"/>
                  </c:ext>
                </c:extLst>
              </c15:ser>
            </c15:filteredBarSeries>
          </c:ext>
        </c:extLst>
      </c:barChart>
      <c:catAx>
        <c:axId val="127276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272761312"/>
        <c:crossesAt val="-5.000000000000001E-2"/>
        <c:auto val="1"/>
        <c:lblAlgn val="ctr"/>
        <c:lblOffset val="100"/>
        <c:noMultiLvlLbl val="0"/>
      </c:catAx>
      <c:valAx>
        <c:axId val="1272761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r>
                  <a:rPr lang="en-US" sz="2400"/>
                  <a:t>GW score [kg</a:t>
                </a:r>
                <a:r>
                  <a:rPr lang="en-US" sz="2400" baseline="-25000"/>
                  <a:t>CO2equ</a:t>
                </a:r>
                <a:r>
                  <a:rPr lang="en-US" sz="2400"/>
                  <a:t>/FU]</a:t>
                </a:r>
              </a:p>
            </c:rich>
          </c:tx>
          <c:layout>
            <c:manualLayout>
              <c:xMode val="edge"/>
              <c:yMode val="edge"/>
              <c:x val="6.0985032850096509E-2"/>
              <c:y val="0.2273378248101153"/>
            </c:manualLayout>
          </c:layout>
          <c:overlay val="0"/>
          <c:spPr>
            <a:noFill/>
            <a:ln>
              <a:noFill/>
            </a:ln>
            <a:effectLst/>
          </c:spPr>
          <c:txPr>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272769472"/>
        <c:crosses val="autoZero"/>
        <c:crossBetween val="between"/>
      </c:valAx>
      <c:spPr>
        <a:noFill/>
        <a:ln>
          <a:noFill/>
        </a:ln>
        <a:effectLst/>
      </c:spPr>
    </c:plotArea>
    <c:legend>
      <c:legendPos val="b"/>
      <c:layout>
        <c:manualLayout>
          <c:xMode val="edge"/>
          <c:yMode val="edge"/>
          <c:x val="8.1040438386661653E-2"/>
          <c:y val="0.75080550110631161"/>
          <c:w val="0.66383706050505153"/>
          <c:h val="0.13148646053389668"/>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US"/>
              <a:t>Cumulative global warming score over vehicle lifetime</a:t>
            </a:r>
          </a:p>
        </c:rich>
      </c:tx>
      <c:layout>
        <c:manualLayout>
          <c:xMode val="edge"/>
          <c:yMode val="edge"/>
          <c:x val="0.34256317712965184"/>
          <c:y val="1.9223375624759707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'Gasoline and electric vehicles'!$AQ$5</c:f>
              <c:strCache>
                <c:ptCount val="1"/>
                <c:pt idx="0">
                  <c:v>Gas Vehicle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vehicles'!$AQ$6:$AQ$46</c:f>
              <c:numCache>
                <c:formatCode>0.00E+00</c:formatCode>
                <c:ptCount val="41"/>
                <c:pt idx="0" formatCode="General">
                  <c:v>5970.0059893448897</c:v>
                </c:pt>
                <c:pt idx="1">
                  <c:v>6202.1070845353661</c:v>
                </c:pt>
                <c:pt idx="2">
                  <c:v>6434.2081797258425</c:v>
                </c:pt>
                <c:pt idx="3">
                  <c:v>6666.3092749163179</c:v>
                </c:pt>
                <c:pt idx="4">
                  <c:v>7130.5114652972707</c:v>
                </c:pt>
                <c:pt idx="5">
                  <c:v>7594.7136556782225</c:v>
                </c:pt>
                <c:pt idx="6">
                  <c:v>8291.0169412496507</c:v>
                </c:pt>
                <c:pt idx="7">
                  <c:v>10612.027893154413</c:v>
                </c:pt>
                <c:pt idx="8">
                  <c:v>12933.038845059174</c:v>
                </c:pt>
                <c:pt idx="9">
                  <c:v>15254.049796963936</c:v>
                </c:pt>
                <c:pt idx="10">
                  <c:v>17575.060748868698</c:v>
                </c:pt>
                <c:pt idx="11">
                  <c:v>19896.07170077346</c:v>
                </c:pt>
                <c:pt idx="12">
                  <c:v>22217.082652678222</c:v>
                </c:pt>
                <c:pt idx="13">
                  <c:v>24538.093604582984</c:v>
                </c:pt>
                <c:pt idx="14">
                  <c:v>26859.104556487746</c:v>
                </c:pt>
                <c:pt idx="15">
                  <c:v>29180.115508392504</c:v>
                </c:pt>
                <c:pt idx="16">
                  <c:v>31501.126460297266</c:v>
                </c:pt>
                <c:pt idx="17">
                  <c:v>33822.137412202028</c:v>
                </c:pt>
                <c:pt idx="18">
                  <c:v>36143.14836410679</c:v>
                </c:pt>
                <c:pt idx="19">
                  <c:v>38464.159316011552</c:v>
                </c:pt>
                <c:pt idx="20">
                  <c:v>40785.170267916321</c:v>
                </c:pt>
                <c:pt idx="21">
                  <c:v>43106.181219821083</c:v>
                </c:pt>
                <c:pt idx="22">
                  <c:v>45427.192171725845</c:v>
                </c:pt>
                <c:pt idx="23">
                  <c:v>47748.203123630607</c:v>
                </c:pt>
                <c:pt idx="24">
                  <c:v>50069.214075535361</c:v>
                </c:pt>
                <c:pt idx="25">
                  <c:v>52390.225027440123</c:v>
                </c:pt>
                <c:pt idx="26">
                  <c:v>54711.235979344885</c:v>
                </c:pt>
                <c:pt idx="27">
                  <c:v>57032.246931249647</c:v>
                </c:pt>
                <c:pt idx="28">
                  <c:v>59353.257883154409</c:v>
                </c:pt>
                <c:pt idx="29">
                  <c:v>61674.268835059171</c:v>
                </c:pt>
                <c:pt idx="30">
                  <c:v>63995.279786963933</c:v>
                </c:pt>
                <c:pt idx="31">
                  <c:v>66316.290738868687</c:v>
                </c:pt>
                <c:pt idx="32">
                  <c:v>68637.301690773456</c:v>
                </c:pt>
                <c:pt idx="33">
                  <c:v>70958.312642678211</c:v>
                </c:pt>
                <c:pt idx="34">
                  <c:v>73279.32359458298</c:v>
                </c:pt>
                <c:pt idx="35">
                  <c:v>75600.334546487749</c:v>
                </c:pt>
                <c:pt idx="36">
                  <c:v>77921.345498392504</c:v>
                </c:pt>
                <c:pt idx="37">
                  <c:v>80242.356450297273</c:v>
                </c:pt>
                <c:pt idx="38">
                  <c:v>82563.367402202028</c:v>
                </c:pt>
                <c:pt idx="39">
                  <c:v>84884.378354106797</c:v>
                </c:pt>
                <c:pt idx="40">
                  <c:v>87205.389306011552</c:v>
                </c:pt>
              </c:numCache>
            </c:numRef>
          </c:yVal>
          <c:smooth val="0"/>
          <c:extLst>
            <c:ext xmlns:c16="http://schemas.microsoft.com/office/drawing/2014/chart" uri="{C3380CC4-5D6E-409C-BE32-E72D297353CC}">
              <c16:uniqueId val="{00000000-C80E-4537-9DCE-049604E25E6A}"/>
            </c:ext>
          </c:extLst>
        </c:ser>
        <c:ser>
          <c:idx val="1"/>
          <c:order val="1"/>
          <c:tx>
            <c:strRef>
              <c:f>'Gasoline and electric vehicles'!$AR$5</c:f>
              <c:strCache>
                <c:ptCount val="1"/>
                <c:pt idx="0">
                  <c:v>Electric Vehicle - EU mix</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vehicles'!$AR$6:$AR$46</c:f>
              <c:numCache>
                <c:formatCode>0.00E+00</c:formatCode>
                <c:ptCount val="41"/>
                <c:pt idx="0" formatCode="General">
                  <c:v>9298.2131226531001</c:v>
                </c:pt>
                <c:pt idx="1">
                  <c:v>9409.6203172531004</c:v>
                </c:pt>
                <c:pt idx="2">
                  <c:v>9521.0275118531008</c:v>
                </c:pt>
                <c:pt idx="3">
                  <c:v>9632.4347064530994</c:v>
                </c:pt>
                <c:pt idx="4">
                  <c:v>9855.2490956531001</c:v>
                </c:pt>
                <c:pt idx="5">
                  <c:v>10078.063484853101</c:v>
                </c:pt>
                <c:pt idx="6">
                  <c:v>10412.2850686531</c:v>
                </c:pt>
                <c:pt idx="7">
                  <c:v>11526.3570146531</c:v>
                </c:pt>
                <c:pt idx="8">
                  <c:v>12640.4289606531</c:v>
                </c:pt>
                <c:pt idx="9">
                  <c:v>13754.5009066531</c:v>
                </c:pt>
                <c:pt idx="10">
                  <c:v>14868.5728526531</c:v>
                </c:pt>
                <c:pt idx="11">
                  <c:v>15982.6447986531</c:v>
                </c:pt>
                <c:pt idx="12">
                  <c:v>17096.716744653102</c:v>
                </c:pt>
                <c:pt idx="13">
                  <c:v>18210.788690653098</c:v>
                </c:pt>
                <c:pt idx="14">
                  <c:v>19324.860636653102</c:v>
                </c:pt>
                <c:pt idx="15">
                  <c:v>20438.932582653099</c:v>
                </c:pt>
                <c:pt idx="16">
                  <c:v>21553.004528653102</c:v>
                </c:pt>
                <c:pt idx="17">
                  <c:v>22667.076474653099</c:v>
                </c:pt>
                <c:pt idx="18">
                  <c:v>23781.148420653102</c:v>
                </c:pt>
                <c:pt idx="19">
                  <c:v>24895.220366653102</c:v>
                </c:pt>
                <c:pt idx="20">
                  <c:v>26009.292312653102</c:v>
                </c:pt>
                <c:pt idx="21">
                  <c:v>27123.364258653099</c:v>
                </c:pt>
                <c:pt idx="22">
                  <c:v>28237.436204653102</c:v>
                </c:pt>
                <c:pt idx="23">
                  <c:v>29351.508150653099</c:v>
                </c:pt>
                <c:pt idx="24">
                  <c:v>30465.580096653102</c:v>
                </c:pt>
                <c:pt idx="25">
                  <c:v>31579.652042653099</c:v>
                </c:pt>
                <c:pt idx="26">
                  <c:v>32693.723988653102</c:v>
                </c:pt>
                <c:pt idx="27">
                  <c:v>33807.795934653099</c:v>
                </c:pt>
                <c:pt idx="28">
                  <c:v>34921.867880653102</c:v>
                </c:pt>
                <c:pt idx="29">
                  <c:v>36035.939826653099</c:v>
                </c:pt>
                <c:pt idx="30">
                  <c:v>37150.011772653103</c:v>
                </c:pt>
                <c:pt idx="31">
                  <c:v>38264.083718653099</c:v>
                </c:pt>
                <c:pt idx="32">
                  <c:v>39378.155664653103</c:v>
                </c:pt>
                <c:pt idx="33">
                  <c:v>40492.227610653106</c:v>
                </c:pt>
                <c:pt idx="34">
                  <c:v>41606.299556653103</c:v>
                </c:pt>
                <c:pt idx="35">
                  <c:v>42720.371502653099</c:v>
                </c:pt>
                <c:pt idx="36">
                  <c:v>43834.443448653103</c:v>
                </c:pt>
                <c:pt idx="37">
                  <c:v>44948.515394653099</c:v>
                </c:pt>
                <c:pt idx="38">
                  <c:v>46062.587340653103</c:v>
                </c:pt>
                <c:pt idx="39">
                  <c:v>47176.659286653099</c:v>
                </c:pt>
                <c:pt idx="40">
                  <c:v>48290.731232653103</c:v>
                </c:pt>
              </c:numCache>
            </c:numRef>
          </c:yVal>
          <c:smooth val="0"/>
          <c:extLst>
            <c:ext xmlns:c16="http://schemas.microsoft.com/office/drawing/2014/chart" uri="{C3380CC4-5D6E-409C-BE32-E72D297353CC}">
              <c16:uniqueId val="{00000001-C80E-4537-9DCE-049604E25E6A}"/>
            </c:ext>
          </c:extLst>
        </c:ser>
        <c:ser>
          <c:idx val="2"/>
          <c:order val="2"/>
          <c:tx>
            <c:strRef>
              <c:f>'Gasoline and electric vehicles'!$AS$5</c:f>
              <c:strCache>
                <c:ptCount val="1"/>
                <c:pt idx="0">
                  <c:v>Electric Vehicle - Wind</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vehicles'!$AS$6:$AS$46</c:f>
              <c:numCache>
                <c:formatCode>0.00E+00</c:formatCode>
                <c:ptCount val="41"/>
                <c:pt idx="0" formatCode="General">
                  <c:v>9298.2131226531001</c:v>
                </c:pt>
                <c:pt idx="1">
                  <c:v>9301.9783295530997</c:v>
                </c:pt>
                <c:pt idx="2">
                  <c:v>9305.7435364530993</c:v>
                </c:pt>
                <c:pt idx="3">
                  <c:v>9309.5087433531007</c:v>
                </c:pt>
                <c:pt idx="4">
                  <c:v>9317.0391571530999</c:v>
                </c:pt>
                <c:pt idx="5">
                  <c:v>9324.5695709530992</c:v>
                </c:pt>
                <c:pt idx="6">
                  <c:v>9335.8651916530998</c:v>
                </c:pt>
                <c:pt idx="7">
                  <c:v>9373.5172606530996</c:v>
                </c:pt>
                <c:pt idx="8">
                  <c:v>9411.1693296530993</c:v>
                </c:pt>
                <c:pt idx="9">
                  <c:v>9448.8213986531009</c:v>
                </c:pt>
                <c:pt idx="10">
                  <c:v>9486.4734676531007</c:v>
                </c:pt>
                <c:pt idx="11">
                  <c:v>9524.1255366531004</c:v>
                </c:pt>
                <c:pt idx="12">
                  <c:v>9561.7776056531002</c:v>
                </c:pt>
                <c:pt idx="13">
                  <c:v>9599.4296746530999</c:v>
                </c:pt>
                <c:pt idx="14">
                  <c:v>9637.0817436530997</c:v>
                </c:pt>
                <c:pt idx="15">
                  <c:v>9674.7338126530994</c:v>
                </c:pt>
                <c:pt idx="16">
                  <c:v>9712.3858816530992</c:v>
                </c:pt>
                <c:pt idx="17">
                  <c:v>9750.0379506531008</c:v>
                </c:pt>
                <c:pt idx="18">
                  <c:v>9787.6900196531005</c:v>
                </c:pt>
                <c:pt idx="19">
                  <c:v>9825.3420886531003</c:v>
                </c:pt>
                <c:pt idx="20">
                  <c:v>9862.9941576531</c:v>
                </c:pt>
                <c:pt idx="21">
                  <c:v>9900.6462266530998</c:v>
                </c:pt>
                <c:pt idx="22">
                  <c:v>9938.2982956530996</c:v>
                </c:pt>
                <c:pt idx="23">
                  <c:v>9975.9503646530993</c:v>
                </c:pt>
                <c:pt idx="24">
                  <c:v>10013.602433653101</c:v>
                </c:pt>
                <c:pt idx="25">
                  <c:v>10051.254502653101</c:v>
                </c:pt>
                <c:pt idx="26">
                  <c:v>10088.9065716531</c:v>
                </c:pt>
                <c:pt idx="27">
                  <c:v>10126.5586406531</c:v>
                </c:pt>
                <c:pt idx="28">
                  <c:v>10164.2107096531</c:v>
                </c:pt>
                <c:pt idx="29">
                  <c:v>10201.8627786531</c:v>
                </c:pt>
                <c:pt idx="30">
                  <c:v>10239.514847653099</c:v>
                </c:pt>
                <c:pt idx="31">
                  <c:v>10277.166916653099</c:v>
                </c:pt>
                <c:pt idx="32">
                  <c:v>10314.818985653101</c:v>
                </c:pt>
                <c:pt idx="33">
                  <c:v>10352.471054653101</c:v>
                </c:pt>
                <c:pt idx="34">
                  <c:v>10390.1231236531</c:v>
                </c:pt>
                <c:pt idx="35">
                  <c:v>10427.7751926531</c:v>
                </c:pt>
                <c:pt idx="36">
                  <c:v>10465.4272616531</c:v>
                </c:pt>
                <c:pt idx="37">
                  <c:v>10503.0793306531</c:v>
                </c:pt>
                <c:pt idx="38">
                  <c:v>10540.731399653099</c:v>
                </c:pt>
                <c:pt idx="39">
                  <c:v>10578.383468653101</c:v>
                </c:pt>
                <c:pt idx="40">
                  <c:v>10616.035537653101</c:v>
                </c:pt>
              </c:numCache>
            </c:numRef>
          </c:yVal>
          <c:smooth val="0"/>
          <c:extLst>
            <c:ext xmlns:c16="http://schemas.microsoft.com/office/drawing/2014/chart" uri="{C3380CC4-5D6E-409C-BE32-E72D297353CC}">
              <c16:uniqueId val="{00000002-C80E-4537-9DCE-049604E25E6A}"/>
            </c:ext>
          </c:extLst>
        </c:ser>
        <c:ser>
          <c:idx val="3"/>
          <c:order val="3"/>
          <c:tx>
            <c:strRef>
              <c:f>'Gasoline and electric vehicles'!$AT$5</c:f>
              <c:strCache>
                <c:ptCount val="1"/>
                <c:pt idx="0">
                  <c:v>Electric Vehicle - Photovoltaic</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vehicles'!$AT$6:$AT$46</c:f>
              <c:numCache>
                <c:formatCode>0.00E+00</c:formatCode>
                <c:ptCount val="41"/>
                <c:pt idx="0" formatCode="General">
                  <c:v>9298.2131226531001</c:v>
                </c:pt>
                <c:pt idx="1">
                  <c:v>9318.5218414731007</c:v>
                </c:pt>
                <c:pt idx="2">
                  <c:v>9338.8305602930996</c:v>
                </c:pt>
                <c:pt idx="3">
                  <c:v>9359.1392791131002</c:v>
                </c:pt>
                <c:pt idx="4">
                  <c:v>9399.7567167530997</c:v>
                </c:pt>
                <c:pt idx="5">
                  <c:v>9440.3741543930992</c:v>
                </c:pt>
                <c:pt idx="6">
                  <c:v>9501.3003108530993</c:v>
                </c:pt>
                <c:pt idx="7">
                  <c:v>9704.3874990531003</c:v>
                </c:pt>
                <c:pt idx="8">
                  <c:v>9907.4746872530995</c:v>
                </c:pt>
                <c:pt idx="9">
                  <c:v>10110.561875453101</c:v>
                </c:pt>
                <c:pt idx="10">
                  <c:v>10313.6490636531</c:v>
                </c:pt>
                <c:pt idx="11">
                  <c:v>10516.736251853101</c:v>
                </c:pt>
                <c:pt idx="12">
                  <c:v>10719.8234400531</c:v>
                </c:pt>
                <c:pt idx="13">
                  <c:v>10922.910628253099</c:v>
                </c:pt>
                <c:pt idx="14">
                  <c:v>11125.9978164531</c:v>
                </c:pt>
                <c:pt idx="15">
                  <c:v>11329.0850046531</c:v>
                </c:pt>
                <c:pt idx="16">
                  <c:v>11532.172192853101</c:v>
                </c:pt>
                <c:pt idx="17">
                  <c:v>11735.2593810531</c:v>
                </c:pt>
                <c:pt idx="18">
                  <c:v>11938.346569253099</c:v>
                </c:pt>
                <c:pt idx="19">
                  <c:v>12141.4337574531</c:v>
                </c:pt>
                <c:pt idx="20">
                  <c:v>12344.520945653099</c:v>
                </c:pt>
                <c:pt idx="21">
                  <c:v>12547.6081338531</c:v>
                </c:pt>
                <c:pt idx="22">
                  <c:v>12750.6953220531</c:v>
                </c:pt>
                <c:pt idx="23">
                  <c:v>12953.782510253099</c:v>
                </c:pt>
                <c:pt idx="24">
                  <c:v>13156.8696984531</c:v>
                </c:pt>
                <c:pt idx="25">
                  <c:v>13359.956886653101</c:v>
                </c:pt>
                <c:pt idx="26">
                  <c:v>13563.0440748531</c:v>
                </c:pt>
                <c:pt idx="27">
                  <c:v>13766.131263053099</c:v>
                </c:pt>
                <c:pt idx="28">
                  <c:v>13969.218451253098</c:v>
                </c:pt>
                <c:pt idx="29">
                  <c:v>14172.3056394531</c:v>
                </c:pt>
                <c:pt idx="30">
                  <c:v>14375.392827653101</c:v>
                </c:pt>
                <c:pt idx="31">
                  <c:v>14578.4800158531</c:v>
                </c:pt>
                <c:pt idx="32">
                  <c:v>14781.567204053099</c:v>
                </c:pt>
                <c:pt idx="33">
                  <c:v>14984.6543922531</c:v>
                </c:pt>
                <c:pt idx="34">
                  <c:v>15187.741580453099</c:v>
                </c:pt>
                <c:pt idx="35">
                  <c:v>15390.8287686531</c:v>
                </c:pt>
                <c:pt idx="36">
                  <c:v>15593.915956853099</c:v>
                </c:pt>
                <c:pt idx="37">
                  <c:v>15797.003145053099</c:v>
                </c:pt>
                <c:pt idx="38">
                  <c:v>16000.0903332531</c:v>
                </c:pt>
                <c:pt idx="39">
                  <c:v>16203.177521453101</c:v>
                </c:pt>
                <c:pt idx="40">
                  <c:v>16406.2647096531</c:v>
                </c:pt>
              </c:numCache>
            </c:numRef>
          </c:yVal>
          <c:smooth val="0"/>
          <c:extLst>
            <c:ext xmlns:c16="http://schemas.microsoft.com/office/drawing/2014/chart" uri="{C3380CC4-5D6E-409C-BE32-E72D297353CC}">
              <c16:uniqueId val="{00000003-C80E-4537-9DCE-049604E25E6A}"/>
            </c:ext>
          </c:extLst>
        </c:ser>
        <c:ser>
          <c:idx val="4"/>
          <c:order val="4"/>
          <c:tx>
            <c:strRef>
              <c:f>'Gasoline and electric vehicles'!$AU$5</c:f>
              <c:strCache>
                <c:ptCount val="1"/>
                <c:pt idx="0">
                  <c:v>Electric Vehicle - Hard coal</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'Gasoline and electric vehicles'!$AP$6:$AP$46</c:f>
              <c:numCache>
                <c:formatCode>General</c:formatCode>
                <c:ptCount val="41"/>
                <c:pt idx="0">
                  <c:v>0</c:v>
                </c:pt>
                <c:pt idx="1">
                  <c:v>1000</c:v>
                </c:pt>
                <c:pt idx="2">
                  <c:v>2000</c:v>
                </c:pt>
                <c:pt idx="3">
                  <c:v>3000</c:v>
                </c:pt>
                <c:pt idx="4">
                  <c:v>5000</c:v>
                </c:pt>
                <c:pt idx="5">
                  <c:v>7000</c:v>
                </c:pt>
                <c:pt idx="6">
                  <c:v>10000</c:v>
                </c:pt>
                <c:pt idx="7">
                  <c:v>20000</c:v>
                </c:pt>
                <c:pt idx="8">
                  <c:v>30000</c:v>
                </c:pt>
                <c:pt idx="9">
                  <c:v>40000</c:v>
                </c:pt>
                <c:pt idx="10">
                  <c:v>50000</c:v>
                </c:pt>
                <c:pt idx="11">
                  <c:v>60000</c:v>
                </c:pt>
                <c:pt idx="12">
                  <c:v>70000</c:v>
                </c:pt>
                <c:pt idx="13">
                  <c:v>80000</c:v>
                </c:pt>
                <c:pt idx="14">
                  <c:v>90000</c:v>
                </c:pt>
                <c:pt idx="15">
                  <c:v>100000</c:v>
                </c:pt>
                <c:pt idx="16">
                  <c:v>110000</c:v>
                </c:pt>
                <c:pt idx="17">
                  <c:v>120000</c:v>
                </c:pt>
                <c:pt idx="18">
                  <c:v>130000</c:v>
                </c:pt>
                <c:pt idx="19">
                  <c:v>140000</c:v>
                </c:pt>
                <c:pt idx="20">
                  <c:v>150000</c:v>
                </c:pt>
                <c:pt idx="21">
                  <c:v>160000</c:v>
                </c:pt>
                <c:pt idx="22">
                  <c:v>170000</c:v>
                </c:pt>
                <c:pt idx="23">
                  <c:v>180000</c:v>
                </c:pt>
                <c:pt idx="24">
                  <c:v>190000</c:v>
                </c:pt>
                <c:pt idx="25">
                  <c:v>200000</c:v>
                </c:pt>
                <c:pt idx="26">
                  <c:v>210000</c:v>
                </c:pt>
                <c:pt idx="27">
                  <c:v>220000</c:v>
                </c:pt>
                <c:pt idx="28">
                  <c:v>230000</c:v>
                </c:pt>
                <c:pt idx="29">
                  <c:v>240000</c:v>
                </c:pt>
                <c:pt idx="30">
                  <c:v>250000</c:v>
                </c:pt>
                <c:pt idx="31">
                  <c:v>260000</c:v>
                </c:pt>
                <c:pt idx="32">
                  <c:v>270000</c:v>
                </c:pt>
                <c:pt idx="33">
                  <c:v>280000</c:v>
                </c:pt>
                <c:pt idx="34">
                  <c:v>290000</c:v>
                </c:pt>
                <c:pt idx="35">
                  <c:v>300000</c:v>
                </c:pt>
                <c:pt idx="36">
                  <c:v>310000</c:v>
                </c:pt>
                <c:pt idx="37">
                  <c:v>320000</c:v>
                </c:pt>
                <c:pt idx="38">
                  <c:v>330000</c:v>
                </c:pt>
                <c:pt idx="39">
                  <c:v>340000</c:v>
                </c:pt>
                <c:pt idx="40">
                  <c:v>350000</c:v>
                </c:pt>
              </c:numCache>
            </c:numRef>
          </c:xVal>
          <c:yVal>
            <c:numRef>
              <c:f>'Gasoline and electric vehicles'!$AU$6:$AU$46</c:f>
              <c:numCache>
                <c:formatCode>0.00E+00</c:formatCode>
                <c:ptCount val="41"/>
                <c:pt idx="0" formatCode="General">
                  <c:v>9298.2131226531001</c:v>
                </c:pt>
                <c:pt idx="1">
                  <c:v>9560.5487806531</c:v>
                </c:pt>
                <c:pt idx="2">
                  <c:v>9822.8844386531</c:v>
                </c:pt>
                <c:pt idx="3">
                  <c:v>10085.2200966531</c:v>
                </c:pt>
                <c:pt idx="4">
                  <c:v>10609.8914126531</c:v>
                </c:pt>
                <c:pt idx="5">
                  <c:v>11134.5627286531</c:v>
                </c:pt>
                <c:pt idx="6">
                  <c:v>11921.5697026531</c:v>
                </c:pt>
                <c:pt idx="7">
                  <c:v>14544.926282653099</c:v>
                </c:pt>
                <c:pt idx="8">
                  <c:v>17168.282862653097</c:v>
                </c:pt>
                <c:pt idx="9">
                  <c:v>19791.639442653097</c:v>
                </c:pt>
                <c:pt idx="10">
                  <c:v>22414.996022653097</c:v>
                </c:pt>
                <c:pt idx="11">
                  <c:v>25038.352602653096</c:v>
                </c:pt>
                <c:pt idx="12">
                  <c:v>27661.709182653096</c:v>
                </c:pt>
                <c:pt idx="13">
                  <c:v>30285.065762653096</c:v>
                </c:pt>
                <c:pt idx="14">
                  <c:v>32908.422342653095</c:v>
                </c:pt>
                <c:pt idx="15">
                  <c:v>35531.778922653095</c:v>
                </c:pt>
                <c:pt idx="16">
                  <c:v>38155.135502653095</c:v>
                </c:pt>
                <c:pt idx="17">
                  <c:v>40778.492082653094</c:v>
                </c:pt>
                <c:pt idx="18">
                  <c:v>43401.848662653094</c:v>
                </c:pt>
                <c:pt idx="19">
                  <c:v>46025.205242653094</c:v>
                </c:pt>
                <c:pt idx="20">
                  <c:v>48648.561822653093</c:v>
                </c:pt>
                <c:pt idx="21">
                  <c:v>51271.918402653093</c:v>
                </c:pt>
                <c:pt idx="22">
                  <c:v>53895.274982653093</c:v>
                </c:pt>
                <c:pt idx="23">
                  <c:v>56518.631562653092</c:v>
                </c:pt>
                <c:pt idx="24">
                  <c:v>59141.988142653092</c:v>
                </c:pt>
                <c:pt idx="25">
                  <c:v>61765.344722653092</c:v>
                </c:pt>
                <c:pt idx="26">
                  <c:v>64388.701302653091</c:v>
                </c:pt>
                <c:pt idx="27">
                  <c:v>67012.057882653098</c:v>
                </c:pt>
                <c:pt idx="28">
                  <c:v>69635.414462653091</c:v>
                </c:pt>
                <c:pt idx="29">
                  <c:v>72258.771042653098</c:v>
                </c:pt>
                <c:pt idx="30">
                  <c:v>74882.127622653104</c:v>
                </c:pt>
                <c:pt idx="31">
                  <c:v>77505.484202653097</c:v>
                </c:pt>
                <c:pt idx="32">
                  <c:v>80128.840782653104</c:v>
                </c:pt>
                <c:pt idx="33">
                  <c:v>82752.197362653096</c:v>
                </c:pt>
                <c:pt idx="34">
                  <c:v>85375.553942653103</c:v>
                </c:pt>
                <c:pt idx="35">
                  <c:v>87998.910522653096</c:v>
                </c:pt>
                <c:pt idx="36">
                  <c:v>90622.267102653102</c:v>
                </c:pt>
                <c:pt idx="37">
                  <c:v>93245.623682653095</c:v>
                </c:pt>
                <c:pt idx="38">
                  <c:v>95868.980262653102</c:v>
                </c:pt>
                <c:pt idx="39">
                  <c:v>98492.336842653094</c:v>
                </c:pt>
                <c:pt idx="40">
                  <c:v>101115.6934226531</c:v>
                </c:pt>
              </c:numCache>
            </c:numRef>
          </c:yVal>
          <c:smooth val="0"/>
          <c:extLst>
            <c:ext xmlns:c16="http://schemas.microsoft.com/office/drawing/2014/chart" uri="{C3380CC4-5D6E-409C-BE32-E72D297353CC}">
              <c16:uniqueId val="{00000000-3F92-4599-8961-F4F24CC36D5B}"/>
            </c:ext>
          </c:extLst>
        </c:ser>
        <c:dLbls>
          <c:showLegendKey val="0"/>
          <c:showVal val="0"/>
          <c:showCatName val="0"/>
          <c:showSerName val="0"/>
          <c:showPercent val="0"/>
          <c:showBubbleSize val="0"/>
        </c:dLbls>
        <c:axId val="1272762400"/>
        <c:axId val="1272759136"/>
      </c:scatterChart>
      <c:valAx>
        <c:axId val="1272762400"/>
        <c:scaling>
          <c:orientation val="minMax"/>
          <c:max val="2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Distance over car lifetime</a:t>
                </a:r>
              </a:p>
            </c:rich>
          </c:tx>
          <c:layout>
            <c:manualLayout>
              <c:xMode val="edge"/>
              <c:yMode val="edge"/>
              <c:x val="0.44772213158039931"/>
              <c:y val="0.80972290925014379"/>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272759136"/>
        <c:crosses val="autoZero"/>
        <c:crossBetween val="midCat"/>
      </c:valAx>
      <c:valAx>
        <c:axId val="1272759136"/>
        <c:scaling>
          <c:orientation val="minMax"/>
          <c:max val="1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Global warming score [kgCO2equ]</a:t>
                </a:r>
              </a:p>
              <a:p>
                <a:pPr>
                  <a:defRPr/>
                </a:pPr>
                <a:endParaRPr lang="en-US"/>
              </a:p>
            </c:rich>
          </c:tx>
          <c:layout>
            <c:manualLayout>
              <c:xMode val="edge"/>
              <c:yMode val="edge"/>
              <c:x val="1.6266266266266267E-2"/>
              <c:y val="0.24266132541877167"/>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272762400"/>
        <c:crosses val="autoZero"/>
        <c:crossBetween val="midCat"/>
      </c:valAx>
      <c:spPr>
        <a:noFill/>
        <a:ln>
          <a:noFill/>
        </a:ln>
        <a:effectLst/>
      </c:spPr>
    </c:plotArea>
    <c:legend>
      <c:legendPos val="b"/>
      <c:layout>
        <c:manualLayout>
          <c:xMode val="edge"/>
          <c:yMode val="edge"/>
          <c:x val="9.357073609042113E-2"/>
          <c:y val="0.86067749512773306"/>
          <c:w val="0.88668235164298159"/>
          <c:h val="0.12902384369821945"/>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a:t>Comparison of non-renewable primary energy</a:t>
            </a:r>
          </a:p>
        </c:rich>
      </c:tx>
      <c:layout>
        <c:manualLayout>
          <c:xMode val="edge"/>
          <c:yMode val="edge"/>
          <c:x val="0.3459255439011083"/>
          <c:y val="2.682073778336393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191226096737907"/>
          <c:y val="8.5538003514023561E-2"/>
          <c:w val="0.8049463067116609"/>
          <c:h val="0.62405090634331861"/>
        </c:manualLayout>
      </c:layout>
      <c:barChart>
        <c:barDir val="col"/>
        <c:grouping val="stacked"/>
        <c:varyColors val="0"/>
        <c:ser>
          <c:idx val="0"/>
          <c:order val="0"/>
          <c:tx>
            <c:strRef>
              <c:f>'Life Cycle Costing petrol vs el'!$J$6</c:f>
              <c:strCache>
                <c:ptCount val="1"/>
                <c:pt idx="0">
                  <c:v>Purchase</c:v>
                </c:pt>
              </c:strCache>
            </c:strRef>
          </c:tx>
          <c:spPr>
            <a:solidFill>
              <a:schemeClr val="accent1"/>
            </a:solidFill>
            <a:ln>
              <a:noFill/>
            </a:ln>
            <a:effectLst/>
          </c:spPr>
          <c:invertIfNegative val="0"/>
          <c:cat>
            <c:strRef>
              <c:extLst>
                <c:ext xmlns:c15="http://schemas.microsoft.com/office/drawing/2012/chart" uri="{02D57815-91ED-43cb-92C2-25804820EDAC}">
                  <c15:fullRef>
                    <c15:sqref>'Life Cycle Costing petrol vs el'!$K$5:$O$5</c15:sqref>
                  </c15:fullRef>
                </c:ext>
              </c:extLst>
              <c:f>'Life Cycle Costing petrol vs el'!$K$5:$M$5</c:f>
              <c:strCache>
                <c:ptCount val="3"/>
                <c:pt idx="0">
                  <c:v>Petrol Vehicle</c:v>
                </c:pt>
                <c:pt idx="1">
                  <c:v>Electric Vehicle</c:v>
                </c:pt>
                <c:pt idx="2">
                  <c:v>Leased electric vehicle</c:v>
                </c:pt>
              </c:strCache>
            </c:strRef>
          </c:cat>
          <c:val>
            <c:numRef>
              <c:extLst>
                <c:ext xmlns:c15="http://schemas.microsoft.com/office/drawing/2012/chart" uri="{02D57815-91ED-43cb-92C2-25804820EDAC}">
                  <c15:fullRef>
                    <c15:sqref>'Life Cycle Costing petrol vs el'!$K$6:$O$6</c15:sqref>
                  </c15:fullRef>
                </c:ext>
              </c:extLst>
              <c:f>'Life Cycle Costing petrol vs el'!$K$6:$M$6</c:f>
              <c:numCache>
                <c:formatCode>0.000</c:formatCode>
                <c:ptCount val="3"/>
                <c:pt idx="0">
                  <c:v>0.26666666666666666</c:v>
                </c:pt>
                <c:pt idx="1">
                  <c:v>0.26666666666666666</c:v>
                </c:pt>
                <c:pt idx="2">
                  <c:v>8.8888888888888889E-3</c:v>
                </c:pt>
              </c:numCache>
            </c:numRef>
          </c:val>
          <c:extLst>
            <c:ext xmlns:c16="http://schemas.microsoft.com/office/drawing/2014/chart" uri="{C3380CC4-5D6E-409C-BE32-E72D297353CC}">
              <c16:uniqueId val="{00000000-68FB-4E9E-A374-E52E429EC696}"/>
            </c:ext>
          </c:extLst>
        </c:ser>
        <c:ser>
          <c:idx val="1"/>
          <c:order val="1"/>
          <c:tx>
            <c:strRef>
              <c:f>'Life Cycle Costing petrol vs el'!$J$7</c:f>
              <c:strCache>
                <c:ptCount val="1"/>
                <c:pt idx="0">
                  <c:v>Fixed annual costs</c:v>
                </c:pt>
              </c:strCache>
            </c:strRef>
          </c:tx>
          <c:spPr>
            <a:solidFill>
              <a:schemeClr val="accent2"/>
            </a:solidFill>
            <a:ln>
              <a:noFill/>
            </a:ln>
            <a:effectLst/>
          </c:spPr>
          <c:invertIfNegative val="0"/>
          <c:cat>
            <c:strRef>
              <c:extLst>
                <c:ext xmlns:c15="http://schemas.microsoft.com/office/drawing/2012/chart" uri="{02D57815-91ED-43cb-92C2-25804820EDAC}">
                  <c15:fullRef>
                    <c15:sqref>'Life Cycle Costing petrol vs el'!$K$5:$O$5</c15:sqref>
                  </c15:fullRef>
                </c:ext>
              </c:extLst>
              <c:f>'Life Cycle Costing petrol vs el'!$K$5:$M$5</c:f>
              <c:strCache>
                <c:ptCount val="3"/>
                <c:pt idx="0">
                  <c:v>Petrol Vehicle</c:v>
                </c:pt>
                <c:pt idx="1">
                  <c:v>Electric Vehicle</c:v>
                </c:pt>
                <c:pt idx="2">
                  <c:v>Leased electric vehicle</c:v>
                </c:pt>
              </c:strCache>
            </c:strRef>
          </c:cat>
          <c:val>
            <c:numRef>
              <c:extLst>
                <c:ext xmlns:c15="http://schemas.microsoft.com/office/drawing/2012/chart" uri="{02D57815-91ED-43cb-92C2-25804820EDAC}">
                  <c15:fullRef>
                    <c15:sqref>'Life Cycle Costing petrol vs el'!$K$7:$O$7</c15:sqref>
                  </c15:fullRef>
                </c:ext>
              </c:extLst>
              <c:f>'Life Cycle Costing petrol vs el'!$K$7:$M$7</c:f>
              <c:numCache>
                <c:formatCode>0.000</c:formatCode>
                <c:ptCount val="3"/>
                <c:pt idx="0">
                  <c:v>4.6666666666666669E-2</c:v>
                </c:pt>
                <c:pt idx="1">
                  <c:v>3.5555555555555556E-2</c:v>
                </c:pt>
                <c:pt idx="2">
                  <c:v>0.39555555555555555</c:v>
                </c:pt>
              </c:numCache>
            </c:numRef>
          </c:val>
          <c:extLst>
            <c:ext xmlns:c16="http://schemas.microsoft.com/office/drawing/2014/chart" uri="{C3380CC4-5D6E-409C-BE32-E72D297353CC}">
              <c16:uniqueId val="{00000001-68FB-4E9E-A374-E52E429EC696}"/>
            </c:ext>
          </c:extLst>
        </c:ser>
        <c:ser>
          <c:idx val="2"/>
          <c:order val="2"/>
          <c:tx>
            <c:strRef>
              <c:f>'Life Cycle Costing petrol vs el'!$J$8</c:f>
              <c:strCache>
                <c:ptCount val="1"/>
                <c:pt idx="0">
                  <c:v>Variable cost maintenance</c:v>
                </c:pt>
              </c:strCache>
            </c:strRef>
          </c:tx>
          <c:spPr>
            <a:solidFill>
              <a:schemeClr val="accent3"/>
            </a:solidFill>
            <a:ln>
              <a:noFill/>
            </a:ln>
            <a:effectLst/>
          </c:spPr>
          <c:invertIfNegative val="0"/>
          <c:cat>
            <c:strRef>
              <c:extLst>
                <c:ext xmlns:c15="http://schemas.microsoft.com/office/drawing/2012/chart" uri="{02D57815-91ED-43cb-92C2-25804820EDAC}">
                  <c15:fullRef>
                    <c15:sqref>'Life Cycle Costing petrol vs el'!$K$5:$O$5</c15:sqref>
                  </c15:fullRef>
                </c:ext>
              </c:extLst>
              <c:f>'Life Cycle Costing petrol vs el'!$K$5:$M$5</c:f>
              <c:strCache>
                <c:ptCount val="3"/>
                <c:pt idx="0">
                  <c:v>Petrol Vehicle</c:v>
                </c:pt>
                <c:pt idx="1">
                  <c:v>Electric Vehicle</c:v>
                </c:pt>
                <c:pt idx="2">
                  <c:v>Leased electric vehicle</c:v>
                </c:pt>
              </c:strCache>
            </c:strRef>
          </c:cat>
          <c:val>
            <c:numRef>
              <c:extLst>
                <c:ext xmlns:c15="http://schemas.microsoft.com/office/drawing/2012/chart" uri="{02D57815-91ED-43cb-92C2-25804820EDAC}">
                  <c15:fullRef>
                    <c15:sqref>'Life Cycle Costing petrol vs el'!$K$8:$O$8</c15:sqref>
                  </c15:fullRef>
                </c:ext>
              </c:extLst>
              <c:f>'Life Cycle Costing petrol vs el'!$K$8:$M$8</c:f>
              <c:numCache>
                <c:formatCode>0.0000</c:formatCode>
                <c:ptCount val="3"/>
                <c:pt idx="0">
                  <c:v>0.105</c:v>
                </c:pt>
                <c:pt idx="1">
                  <c:v>6.0000000000000005E-2</c:v>
                </c:pt>
                <c:pt idx="2">
                  <c:v>0</c:v>
                </c:pt>
              </c:numCache>
            </c:numRef>
          </c:val>
          <c:extLst>
            <c:ext xmlns:c16="http://schemas.microsoft.com/office/drawing/2014/chart" uri="{C3380CC4-5D6E-409C-BE32-E72D297353CC}">
              <c16:uniqueId val="{00000002-68FB-4E9E-A374-E52E429EC696}"/>
            </c:ext>
          </c:extLst>
        </c:ser>
        <c:ser>
          <c:idx val="5"/>
          <c:order val="3"/>
          <c:tx>
            <c:strRef>
              <c:f>'Life Cycle Costing petrol vs el'!$J$9</c:f>
              <c:strCache>
                <c:ptCount val="1"/>
                <c:pt idx="0">
                  <c:v>Variable cost Fuel - Use phase</c:v>
                </c:pt>
              </c:strCache>
            </c:strRef>
          </c:tx>
          <c:spPr>
            <a:solidFill>
              <a:schemeClr val="accent6"/>
            </a:solidFill>
            <a:ln>
              <a:noFill/>
            </a:ln>
            <a:effectLst/>
          </c:spPr>
          <c:invertIfNegative val="0"/>
          <c:cat>
            <c:strRef>
              <c:extLst>
                <c:ext xmlns:c15="http://schemas.microsoft.com/office/drawing/2012/chart" uri="{02D57815-91ED-43cb-92C2-25804820EDAC}">
                  <c15:fullRef>
                    <c15:sqref>'Life Cycle Costing petrol vs el'!$K$5:$O$5</c15:sqref>
                  </c15:fullRef>
                </c:ext>
              </c:extLst>
              <c:f>'Life Cycle Costing petrol vs el'!$K$5:$M$5</c:f>
              <c:strCache>
                <c:ptCount val="3"/>
                <c:pt idx="0">
                  <c:v>Petrol Vehicle</c:v>
                </c:pt>
                <c:pt idx="1">
                  <c:v>Electric Vehicle</c:v>
                </c:pt>
                <c:pt idx="2">
                  <c:v>Leased electric vehicle</c:v>
                </c:pt>
              </c:strCache>
            </c:strRef>
          </c:cat>
          <c:val>
            <c:numRef>
              <c:extLst>
                <c:ext xmlns:c15="http://schemas.microsoft.com/office/drawing/2012/chart" uri="{02D57815-91ED-43cb-92C2-25804820EDAC}">
                  <c15:fullRef>
                    <c15:sqref>'Life Cycle Costing petrol vs el'!$K$9:$O$9</c15:sqref>
                  </c15:fullRef>
                </c:ext>
              </c:extLst>
              <c:f>'Life Cycle Costing petrol vs el'!$K$9:$M$9</c:f>
              <c:numCache>
                <c:formatCode>0.000</c:formatCode>
                <c:ptCount val="3"/>
                <c:pt idx="0">
                  <c:v>9.2342342342342343E-2</c:v>
                </c:pt>
                <c:pt idx="1">
                  <c:v>5.2000000000000005E-2</c:v>
                </c:pt>
                <c:pt idx="2">
                  <c:v>5.2000000000000005E-2</c:v>
                </c:pt>
              </c:numCache>
            </c:numRef>
          </c:val>
          <c:extLst>
            <c:ext xmlns:c16="http://schemas.microsoft.com/office/drawing/2014/chart" uri="{C3380CC4-5D6E-409C-BE32-E72D297353CC}">
              <c16:uniqueId val="{00000003-68FB-4E9E-A374-E52E429EC696}"/>
            </c:ext>
          </c:extLst>
        </c:ser>
        <c:ser>
          <c:idx val="6"/>
          <c:order val="4"/>
          <c:tx>
            <c:strRef>
              <c:f>'Life Cycle Costing petrol vs el'!$J$10</c:f>
              <c:strCache>
                <c:ptCount val="1"/>
                <c:pt idx="0">
                  <c:v>Resale </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'Life Cycle Costing petrol vs el'!$K$5:$O$5</c15:sqref>
                  </c15:fullRef>
                </c:ext>
              </c:extLst>
              <c:f>'Life Cycle Costing petrol vs el'!$K$5:$M$5</c:f>
              <c:strCache>
                <c:ptCount val="3"/>
                <c:pt idx="0">
                  <c:v>Petrol Vehicle</c:v>
                </c:pt>
                <c:pt idx="1">
                  <c:v>Electric Vehicle</c:v>
                </c:pt>
                <c:pt idx="2">
                  <c:v>Leased electric vehicle</c:v>
                </c:pt>
              </c:strCache>
            </c:strRef>
          </c:cat>
          <c:val>
            <c:numRef>
              <c:extLst>
                <c:ext xmlns:c15="http://schemas.microsoft.com/office/drawing/2012/chart" uri="{02D57815-91ED-43cb-92C2-25804820EDAC}">
                  <c15:fullRef>
                    <c15:sqref>'Life Cycle Costing petrol vs el'!$K$10:$O$10</c15:sqref>
                  </c15:fullRef>
                </c:ext>
              </c:extLst>
              <c:f>'Life Cycle Costing petrol vs el'!$K$10:$M$10</c:f>
              <c:numCache>
                <c:formatCode>0.00</c:formatCode>
                <c:ptCount val="3"/>
                <c:pt idx="0">
                  <c:v>-0.02</c:v>
                </c:pt>
                <c:pt idx="1">
                  <c:v>-1.3333333333333332E-2</c:v>
                </c:pt>
                <c:pt idx="2">
                  <c:v>0</c:v>
                </c:pt>
              </c:numCache>
            </c:numRef>
          </c:val>
          <c:extLst>
            <c:ext xmlns:c16="http://schemas.microsoft.com/office/drawing/2014/chart" uri="{C3380CC4-5D6E-409C-BE32-E72D297353CC}">
              <c16:uniqueId val="{00000004-68FB-4E9E-A374-E52E429EC696}"/>
            </c:ext>
          </c:extLst>
        </c:ser>
        <c:dLbls>
          <c:showLegendKey val="0"/>
          <c:showVal val="0"/>
          <c:showCatName val="0"/>
          <c:showSerName val="0"/>
          <c:showPercent val="0"/>
          <c:showBubbleSize val="0"/>
        </c:dLbls>
        <c:gapWidth val="150"/>
        <c:overlap val="100"/>
        <c:axId val="1003427504"/>
        <c:axId val="1272768928"/>
        <c:extLst/>
      </c:barChart>
      <c:catAx>
        <c:axId val="100342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272768928"/>
        <c:crossesAt val="-5.000000000000001E-2"/>
        <c:auto val="1"/>
        <c:lblAlgn val="ctr"/>
        <c:lblOffset val="100"/>
        <c:noMultiLvlLbl val="0"/>
      </c:catAx>
      <c:valAx>
        <c:axId val="1272768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r>
                  <a:rPr lang="en-US" sz="2400"/>
                  <a:t>Cost (€/FU)</a:t>
                </a:r>
              </a:p>
            </c:rich>
          </c:tx>
          <c:layout>
            <c:manualLayout>
              <c:xMode val="edge"/>
              <c:yMode val="edge"/>
              <c:x val="3.4015276415878527E-4"/>
              <c:y val="0.25829136718346085"/>
            </c:manualLayout>
          </c:layout>
          <c:overlay val="0"/>
          <c:spPr>
            <a:noFill/>
            <a:ln>
              <a:noFill/>
            </a:ln>
            <a:effectLst/>
          </c:spPr>
          <c:txPr>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003427504"/>
        <c:crosses val="autoZero"/>
        <c:crossBetween val="between"/>
      </c:valAx>
      <c:spPr>
        <a:noFill/>
        <a:ln>
          <a:noFill/>
        </a:ln>
        <a:effectLst/>
      </c:spPr>
    </c:plotArea>
    <c:legend>
      <c:legendPos val="r"/>
      <c:layout>
        <c:manualLayout>
          <c:xMode val="edge"/>
          <c:yMode val="edge"/>
          <c:x val="0.23367313525521757"/>
          <c:y val="0.79905423150553911"/>
          <c:w val="0.3990262292450335"/>
          <c:h val="0.17909978124902415"/>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1676400</xdr:colOff>
      <xdr:row>17</xdr:row>
      <xdr:rowOff>182880</xdr:rowOff>
    </xdr:from>
    <xdr:to>
      <xdr:col>21</xdr:col>
      <xdr:colOff>640080</xdr:colOff>
      <xdr:row>57</xdr:row>
      <xdr:rowOff>15240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377884</xdr:colOff>
      <xdr:row>20</xdr:row>
      <xdr:rowOff>96118</xdr:rowOff>
    </xdr:from>
    <xdr:to>
      <xdr:col>25</xdr:col>
      <xdr:colOff>2072640</xdr:colOff>
      <xdr:row>60</xdr:row>
      <xdr:rowOff>20783</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1264920</xdr:colOff>
      <xdr:row>19</xdr:row>
      <xdr:rowOff>121921</xdr:rowOff>
    </xdr:from>
    <xdr:to>
      <xdr:col>36</xdr:col>
      <xdr:colOff>1021080</xdr:colOff>
      <xdr:row>58</xdr:row>
      <xdr:rowOff>106680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167640</xdr:colOff>
      <xdr:row>52</xdr:row>
      <xdr:rowOff>129540</xdr:rowOff>
    </xdr:from>
    <xdr:to>
      <xdr:col>46</xdr:col>
      <xdr:colOff>1524000</xdr:colOff>
      <xdr:row>81</xdr:row>
      <xdr:rowOff>15240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22860</xdr:colOff>
      <xdr:row>53</xdr:row>
      <xdr:rowOff>22860</xdr:rowOff>
    </xdr:from>
    <xdr:to>
      <xdr:col>54</xdr:col>
      <xdr:colOff>487680</xdr:colOff>
      <xdr:row>81</xdr:row>
      <xdr:rowOff>121920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1143000</xdr:colOff>
      <xdr:row>60</xdr:row>
      <xdr:rowOff>0</xdr:rowOff>
    </xdr:from>
    <xdr:to>
      <xdr:col>37</xdr:col>
      <xdr:colOff>1539240</xdr:colOff>
      <xdr:row>92</xdr:row>
      <xdr:rowOff>1173480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1859280</xdr:colOff>
      <xdr:row>84</xdr:row>
      <xdr:rowOff>190500</xdr:rowOff>
    </xdr:from>
    <xdr:to>
      <xdr:col>44</xdr:col>
      <xdr:colOff>1493520</xdr:colOff>
      <xdr:row>97</xdr:row>
      <xdr:rowOff>121920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1953260</xdr:colOff>
      <xdr:row>18</xdr:row>
      <xdr:rowOff>86360</xdr:rowOff>
    </xdr:from>
    <xdr:to>
      <xdr:col>14</xdr:col>
      <xdr:colOff>160020</xdr:colOff>
      <xdr:row>44</xdr:row>
      <xdr:rowOff>0</xdr:rowOff>
    </xdr:to>
    <xdr:graphicFrame macro="">
      <xdr:nvGraphicFramePr>
        <xdr:cNvPr id="2" name="Chart 1">
          <a:extLst>
            <a:ext uri="{FF2B5EF4-FFF2-40B4-BE49-F238E27FC236}">
              <a16:creationId xmlns:a16="http://schemas.microsoft.com/office/drawing/2014/main" id="{B318D386-9E1F-4B60-826F-3028D7373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198120</xdr:colOff>
      <xdr:row>1</xdr:row>
      <xdr:rowOff>15240</xdr:rowOff>
    </xdr:from>
    <xdr:to>
      <xdr:col>19</xdr:col>
      <xdr:colOff>102044</xdr:colOff>
      <xdr:row>21</xdr:row>
      <xdr:rowOff>149996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736080" y="198120"/>
          <a:ext cx="6609524" cy="3990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45"/>
  <sheetViews>
    <sheetView zoomScale="50" zoomScaleNormal="50" workbookViewId="0">
      <selection activeCell="A26" sqref="A26"/>
    </sheetView>
  </sheetViews>
  <sheetFormatPr defaultColWidth="30.7265625" defaultRowHeight="20"/>
  <cols>
    <col min="1" max="1" width="60.453125" style="1" customWidth="1"/>
    <col min="2" max="2" width="32.26953125" style="3" customWidth="1"/>
    <col min="3" max="3" width="24.1796875" style="1" customWidth="1"/>
    <col min="4" max="4" width="13.1796875" style="1" customWidth="1"/>
    <col min="5" max="5" width="19" style="1" customWidth="1"/>
    <col min="6" max="6" width="16.1796875" style="36" customWidth="1"/>
    <col min="7" max="7" width="23.7265625" style="1" customWidth="1"/>
    <col min="8" max="8" width="19.453125" style="1" customWidth="1"/>
    <col min="9" max="9" width="14.7265625" style="1" customWidth="1"/>
    <col min="10" max="10" width="23.7265625" style="1" customWidth="1"/>
    <col min="11" max="14" width="30.7265625" style="15"/>
    <col min="15" max="15" width="30.7265625" style="1"/>
    <col min="16" max="16" width="42.453125" style="1" customWidth="1"/>
    <col min="17" max="22" width="30.7265625" style="1"/>
    <col min="23" max="23" width="34.453125" style="1" customWidth="1"/>
    <col min="24" max="29" width="30.7265625" style="1"/>
    <col min="30" max="30" width="57.1796875" style="1" customWidth="1"/>
    <col min="31" max="16384" width="30.7265625" style="1"/>
  </cols>
  <sheetData>
    <row r="1" spans="1:54">
      <c r="A1" s="19" t="s">
        <v>7</v>
      </c>
      <c r="B1" s="20">
        <v>1000</v>
      </c>
    </row>
    <row r="2" spans="1:54" ht="64.75" customHeight="1">
      <c r="A2" s="19" t="s">
        <v>12</v>
      </c>
      <c r="B2" s="20">
        <v>1000</v>
      </c>
      <c r="AE2" s="48" t="s">
        <v>236</v>
      </c>
      <c r="AF2" s="48" t="s">
        <v>237</v>
      </c>
      <c r="AG2" s="48" t="s">
        <v>238</v>
      </c>
      <c r="AH2" s="48" t="s">
        <v>241</v>
      </c>
      <c r="AI2" s="48" t="s">
        <v>239</v>
      </c>
      <c r="AJ2" s="48" t="s">
        <v>242</v>
      </c>
      <c r="AK2" s="48" t="s">
        <v>240</v>
      </c>
      <c r="AL2" s="48" t="s">
        <v>243</v>
      </c>
      <c r="AM2" s="48" t="s">
        <v>250</v>
      </c>
      <c r="AN2" s="2"/>
      <c r="AP2" s="48" t="s">
        <v>195</v>
      </c>
      <c r="AQ2" s="1" t="s">
        <v>192</v>
      </c>
      <c r="AW2" s="48" t="s">
        <v>190</v>
      </c>
      <c r="AX2" s="1" t="s">
        <v>193</v>
      </c>
    </row>
    <row r="3" spans="1:54" ht="46.75" customHeight="1">
      <c r="AE3" s="48"/>
      <c r="AF3" s="48"/>
      <c r="AG3" s="48"/>
      <c r="AH3" s="48"/>
      <c r="AI3" s="48"/>
      <c r="AJ3" s="48"/>
      <c r="AK3" s="48"/>
      <c r="AL3" s="48"/>
      <c r="AM3" s="48"/>
      <c r="AN3" s="2"/>
      <c r="AP3" s="2"/>
      <c r="AW3" s="2"/>
    </row>
    <row r="4" spans="1:54" ht="20.5" thickBot="1">
      <c r="A4" s="19" t="s">
        <v>265</v>
      </c>
      <c r="B4" s="20">
        <v>150000</v>
      </c>
      <c r="AD4" s="48" t="s">
        <v>191</v>
      </c>
      <c r="AE4" s="48">
        <v>150000</v>
      </c>
      <c r="AF4" s="48"/>
      <c r="AG4" s="48">
        <f>1.5*$AE4</f>
        <v>225000</v>
      </c>
      <c r="AH4" s="48"/>
      <c r="AI4" s="48">
        <f t="shared" ref="AI4:AM4" si="0">1.5*$AE4</f>
        <v>225000</v>
      </c>
      <c r="AJ4" s="48"/>
      <c r="AK4" s="48">
        <f t="shared" si="0"/>
        <v>225000</v>
      </c>
      <c r="AL4" s="48"/>
      <c r="AM4" s="48">
        <f t="shared" si="0"/>
        <v>225000</v>
      </c>
      <c r="AN4" s="2"/>
    </row>
    <row r="5" spans="1:54" s="2" customFormat="1" ht="63" customHeight="1" thickBot="1">
      <c r="A5" s="179" t="s">
        <v>163</v>
      </c>
      <c r="B5" s="226" t="s">
        <v>264</v>
      </c>
      <c r="C5" s="180" t="s">
        <v>15</v>
      </c>
      <c r="D5" s="181" t="s">
        <v>0</v>
      </c>
      <c r="E5" s="180" t="s">
        <v>3</v>
      </c>
      <c r="F5" s="182" t="s">
        <v>10</v>
      </c>
      <c r="G5" s="183" t="s">
        <v>8</v>
      </c>
      <c r="H5" s="180" t="s">
        <v>19</v>
      </c>
      <c r="I5" s="180" t="s">
        <v>50</v>
      </c>
      <c r="J5" s="183" t="s">
        <v>21</v>
      </c>
      <c r="K5" s="215" t="s">
        <v>11</v>
      </c>
      <c r="L5" s="180" t="s">
        <v>185</v>
      </c>
      <c r="M5" s="180" t="s">
        <v>186</v>
      </c>
      <c r="N5" s="184" t="s">
        <v>187</v>
      </c>
      <c r="O5" s="1"/>
      <c r="P5" s="48" t="s">
        <v>54</v>
      </c>
      <c r="Q5" s="48" t="s">
        <v>165</v>
      </c>
      <c r="R5" s="48" t="s">
        <v>166</v>
      </c>
      <c r="S5" s="48" t="s">
        <v>173</v>
      </c>
      <c r="T5" s="48" t="s">
        <v>174</v>
      </c>
      <c r="U5" s="48" t="s">
        <v>248</v>
      </c>
      <c r="W5" s="48" t="s">
        <v>53</v>
      </c>
      <c r="X5" s="48" t="s">
        <v>165</v>
      </c>
      <c r="Y5" s="48" t="s">
        <v>166</v>
      </c>
      <c r="Z5" s="48" t="s">
        <v>173</v>
      </c>
      <c r="AA5" s="48" t="s">
        <v>174</v>
      </c>
      <c r="AB5" s="48" t="s">
        <v>248</v>
      </c>
      <c r="AC5" s="1"/>
      <c r="AD5" s="48" t="s">
        <v>190</v>
      </c>
      <c r="AE5" s="48" t="s">
        <v>165</v>
      </c>
      <c r="AF5" s="48"/>
      <c r="AG5" s="48" t="s">
        <v>255</v>
      </c>
      <c r="AH5" s="48"/>
      <c r="AI5" s="48" t="s">
        <v>173</v>
      </c>
      <c r="AJ5" s="48"/>
      <c r="AK5" s="48" t="s">
        <v>174</v>
      </c>
      <c r="AL5" s="48"/>
      <c r="AM5" s="48" t="s">
        <v>248</v>
      </c>
      <c r="AP5" s="48" t="s">
        <v>194</v>
      </c>
      <c r="AQ5" s="48" t="s">
        <v>165</v>
      </c>
      <c r="AR5" s="48" t="s">
        <v>255</v>
      </c>
      <c r="AS5" s="48" t="s">
        <v>173</v>
      </c>
      <c r="AT5" s="48" t="s">
        <v>174</v>
      </c>
      <c r="AU5" s="48" t="s">
        <v>254</v>
      </c>
      <c r="AV5" s="48"/>
      <c r="AW5" s="48" t="s">
        <v>194</v>
      </c>
      <c r="AX5" s="48" t="s">
        <v>165</v>
      </c>
      <c r="AY5" s="48" t="s">
        <v>166</v>
      </c>
      <c r="AZ5" s="48" t="s">
        <v>173</v>
      </c>
      <c r="BA5" s="48" t="s">
        <v>174</v>
      </c>
      <c r="BB5" s="48" t="s">
        <v>254</v>
      </c>
    </row>
    <row r="6" spans="1:54">
      <c r="A6" s="6" t="s">
        <v>115</v>
      </c>
      <c r="B6" s="235" t="s">
        <v>267</v>
      </c>
      <c r="C6" s="225" t="s">
        <v>269</v>
      </c>
      <c r="D6" s="8"/>
      <c r="E6" s="4"/>
      <c r="F6" s="37"/>
      <c r="G6" s="12"/>
      <c r="H6" s="4"/>
      <c r="I6" s="4"/>
      <c r="J6" s="12"/>
      <c r="K6" s="212"/>
      <c r="L6" s="4"/>
      <c r="M6" s="4"/>
      <c r="N6" s="12"/>
      <c r="P6" s="42" t="s">
        <v>167</v>
      </c>
      <c r="Q6" s="44">
        <f>SUM(F7:F31)</f>
        <v>0.60021733235266306</v>
      </c>
      <c r="R6" s="44">
        <f>SUM($F$54:$F$67)</f>
        <v>0.57011251306751931</v>
      </c>
      <c r="S6" s="44">
        <f>SUM($F$54:$F$67)</f>
        <v>0.57011251306751931</v>
      </c>
      <c r="T6" s="44">
        <f>SUM($F$54:$F$67)</f>
        <v>0.57011251306751931</v>
      </c>
      <c r="U6" s="44">
        <f>SUM($F$54:$F$67)</f>
        <v>0.57011251306751931</v>
      </c>
      <c r="W6" s="42" t="s">
        <v>167</v>
      </c>
      <c r="X6" s="117">
        <f>SUM(I7:I31)</f>
        <v>3.4617172315921665E-2</v>
      </c>
      <c r="Y6" s="117">
        <f>SUM($I$54:$I$67)</f>
        <v>3.5992784055306669E-2</v>
      </c>
      <c r="Z6" s="117">
        <f>SUM($I$54:$I$67)</f>
        <v>3.5992784055306669E-2</v>
      </c>
      <c r="AA6" s="117">
        <f>SUM($I$54:$I$67)</f>
        <v>3.5992784055306669E-2</v>
      </c>
      <c r="AB6" s="117">
        <f>SUM($I$54:$I$67)</f>
        <v>3.5992784055306669E-2</v>
      </c>
      <c r="AD6" s="42" t="s">
        <v>167</v>
      </c>
      <c r="AE6" s="117">
        <f>SUM(M7:M31)</f>
        <v>3.89140348724226E-2</v>
      </c>
      <c r="AF6" s="117"/>
      <c r="AG6" s="117">
        <f>SUM($M$54:$M$67)</f>
        <v>4.0770920350800002E-2</v>
      </c>
      <c r="AH6" s="117"/>
      <c r="AI6" s="117">
        <f>SUM($M$54:$M$67)</f>
        <v>4.0770920350800002E-2</v>
      </c>
      <c r="AJ6" s="117"/>
      <c r="AK6" s="117">
        <f>SUM($M$54:$M$67)</f>
        <v>4.0770920350800002E-2</v>
      </c>
      <c r="AL6" s="117"/>
      <c r="AM6" s="117">
        <f>SUM($M$54:$M$67)</f>
        <v>4.0770920350800002E-2</v>
      </c>
      <c r="AN6" s="150"/>
      <c r="AP6" s="147">
        <v>0</v>
      </c>
      <c r="AQ6" s="147">
        <f>SUM(AE6:AE7)*AE4</f>
        <v>5970.0059893448897</v>
      </c>
      <c r="AR6" s="147">
        <f>SUM(AG6:AG7)*AG4</f>
        <v>9298.2131226531001</v>
      </c>
      <c r="AS6" s="147">
        <f>SUM(AI6:AI7)*AI4</f>
        <v>9298.2131226531001</v>
      </c>
      <c r="AT6" s="147">
        <f>SUM(AK6:AK7)*AK4</f>
        <v>9298.2131226531001</v>
      </c>
      <c r="AU6" s="147">
        <f>SUM(AM6:AM7)*AM4</f>
        <v>9298.2131226531001</v>
      </c>
      <c r="AV6" s="147"/>
      <c r="AW6" s="147">
        <v>0.01</v>
      </c>
      <c r="AX6" s="147">
        <f t="shared" ref="AX6:AX24" si="1">AQ6/$AW6</f>
        <v>597000.59893448895</v>
      </c>
      <c r="AY6" s="147">
        <f t="shared" ref="AY6:AY24" si="2">AR6/$AW6</f>
        <v>929821.31226530997</v>
      </c>
      <c r="AZ6" s="147">
        <f t="shared" ref="AZ6:AZ24" si="3">AS6/$AW6</f>
        <v>929821.31226530997</v>
      </c>
      <c r="BA6" s="147">
        <f t="shared" ref="BA6:BA24" si="4">AT6/$AW6</f>
        <v>929821.31226530997</v>
      </c>
      <c r="BB6" s="147">
        <f t="shared" ref="BB6:BB24" si="5">AU6/$AW6</f>
        <v>929821.31226530997</v>
      </c>
    </row>
    <row r="7" spans="1:54">
      <c r="A7" s="7" t="s">
        <v>56</v>
      </c>
      <c r="B7" s="3">
        <v>4.4000000000000004</v>
      </c>
      <c r="C7" s="35">
        <f>B7/$B$4</f>
        <v>2.9333333333333336E-5</v>
      </c>
      <c r="D7" s="35" t="s">
        <v>1</v>
      </c>
      <c r="E7" s="106">
        <f>Processes!H4</f>
        <v>61.912707699999999</v>
      </c>
      <c r="F7" s="35">
        <f t="shared" ref="F7:F35" si="6">E7*$C7</f>
        <v>1.8161060925333335E-3</v>
      </c>
      <c r="G7" s="141">
        <f t="shared" ref="G7:G25" si="7">F7/F$47</f>
        <v>4.5621397839648998E-4</v>
      </c>
      <c r="H7" s="29">
        <f>Processes!G4</f>
        <v>4.8913827999999997</v>
      </c>
      <c r="I7" s="35">
        <f t="shared" ref="I7:I42" si="8">H7*$C7</f>
        <v>1.4348056213333335E-4</v>
      </c>
      <c r="J7" s="141">
        <f t="shared" ref="J7:J25" si="9">I7/I$47</f>
        <v>5.4057316282513459E-4</v>
      </c>
      <c r="K7" s="111">
        <f t="shared" ref="K7:K25" si="10">I7/F7*$B$2</f>
        <v>79.004504595427349</v>
      </c>
      <c r="L7" s="29">
        <f>Processes!J4</f>
        <v>5.4372182000000002</v>
      </c>
      <c r="M7" s="35">
        <f>L7*$C7</f>
        <v>1.5949173386666668E-4</v>
      </c>
      <c r="N7" s="141">
        <f t="shared" ref="N7:N25" si="11">M7/M$47</f>
        <v>5.841874062260785E-4</v>
      </c>
      <c r="P7" s="43" t="s">
        <v>168</v>
      </c>
      <c r="Q7" s="44">
        <f>SUM(F33:F35)</f>
        <v>1.2538957193913694E-2</v>
      </c>
      <c r="R7" s="46">
        <f>SUM($F$70:$F$72)</f>
        <v>7.8671987179769198E-3</v>
      </c>
      <c r="S7" s="46">
        <f>SUM($F$70:$F$72)</f>
        <v>7.8671987179769198E-3</v>
      </c>
      <c r="T7" s="46">
        <f>SUM($F$70:$F$72)</f>
        <v>7.8671987179769198E-3</v>
      </c>
      <c r="U7" s="46">
        <f>SUM($F$70:$F$72)</f>
        <v>7.8671987179769198E-3</v>
      </c>
      <c r="W7" s="43" t="s">
        <v>168</v>
      </c>
      <c r="X7" s="117">
        <f>SUM(I33:I35)</f>
        <v>8.5108588344999991E-4</v>
      </c>
      <c r="Y7" s="118">
        <f>SUM($I$70:$I$72)</f>
        <v>5.3237726906799998E-4</v>
      </c>
      <c r="Z7" s="118">
        <f>SUM($I$70:$I$72)</f>
        <v>5.3237726906799998E-4</v>
      </c>
      <c r="AA7" s="118">
        <f>SUM($I$70:$I$72)</f>
        <v>5.3237726906799998E-4</v>
      </c>
      <c r="AB7" s="118">
        <f>SUM($I$70:$I$72)</f>
        <v>5.3237726906799998E-4</v>
      </c>
      <c r="AD7" s="43" t="s">
        <v>168</v>
      </c>
      <c r="AE7" s="117">
        <f>SUM(M33:M35)</f>
        <v>8.8600505654333331E-4</v>
      </c>
      <c r="AF7" s="117"/>
      <c r="AG7" s="118">
        <f>SUM($M$70:$M$72)</f>
        <v>5.5447130543600002E-4</v>
      </c>
      <c r="AH7" s="118"/>
      <c r="AI7" s="118">
        <f>SUM($M$70:$M$72)</f>
        <v>5.5447130543600002E-4</v>
      </c>
      <c r="AJ7" s="118"/>
      <c r="AK7" s="118">
        <f>SUM($M$70:$M$72)</f>
        <v>5.5447130543600002E-4</v>
      </c>
      <c r="AL7" s="118"/>
      <c r="AM7" s="118">
        <f>SUM($M$70:$M$72)</f>
        <v>5.5447130543600002E-4</v>
      </c>
      <c r="AN7" s="151"/>
      <c r="AP7" s="42">
        <v>1000</v>
      </c>
      <c r="AQ7" s="118">
        <f>AQ$6+AE$9*$AP7</f>
        <v>6202.1070845353661</v>
      </c>
      <c r="AR7" s="118">
        <f t="shared" ref="AR7:AR25" si="12">AR$6+AG$10*$AP7</f>
        <v>9409.6203172531004</v>
      </c>
      <c r="AS7" s="118">
        <f t="shared" ref="AS7:AS25" si="13">AS$6+AI$11*$AP7</f>
        <v>9301.9783295530997</v>
      </c>
      <c r="AT7" s="118">
        <f t="shared" ref="AT7:AT25" si="14">AT$6+AK$12*$AP7</f>
        <v>9318.5218414731007</v>
      </c>
      <c r="AU7" s="118">
        <f t="shared" ref="AU7:AU25" si="15">AU$6+AM$13*$AP7</f>
        <v>9560.5487806531</v>
      </c>
      <c r="AV7" s="118"/>
      <c r="AW7" s="42">
        <f t="shared" ref="AW7:AW24" si="16">AP7</f>
        <v>1000</v>
      </c>
      <c r="AX7" s="118">
        <f t="shared" si="1"/>
        <v>6.2021070845353661</v>
      </c>
      <c r="AY7" s="118">
        <f t="shared" si="2"/>
        <v>9.4096203172531006</v>
      </c>
      <c r="AZ7" s="118">
        <f t="shared" si="3"/>
        <v>9.3019783295530996</v>
      </c>
      <c r="BA7" s="118">
        <f t="shared" si="4"/>
        <v>9.3185218414731015</v>
      </c>
      <c r="BB7" s="118">
        <f t="shared" si="5"/>
        <v>9.5605487806531002</v>
      </c>
    </row>
    <row r="8" spans="1:54">
      <c r="A8" s="7" t="s">
        <v>59</v>
      </c>
      <c r="B8" s="3">
        <v>54.4</v>
      </c>
      <c r="C8" s="35">
        <f t="shared" ref="C8:C35" si="17">B8/$B$4</f>
        <v>3.6266666666666668E-4</v>
      </c>
      <c r="D8" s="35" t="s">
        <v>1</v>
      </c>
      <c r="E8" s="106">
        <f>Processes!H5</f>
        <v>218.89577508170001</v>
      </c>
      <c r="F8" s="35">
        <f t="shared" si="6"/>
        <v>7.9386201096296544E-2</v>
      </c>
      <c r="G8" s="13">
        <f t="shared" si="7"/>
        <v>1.9942169006990709E-2</v>
      </c>
      <c r="H8" s="29">
        <f>Processes!G5</f>
        <v>19.248840000000001</v>
      </c>
      <c r="I8" s="35">
        <f t="shared" si="8"/>
        <v>6.9809126400000006E-3</v>
      </c>
      <c r="J8" s="13">
        <f t="shared" si="9"/>
        <v>2.6301081966099E-2</v>
      </c>
      <c r="K8" s="111">
        <f t="shared" si="10"/>
        <v>87.936096495309783</v>
      </c>
      <c r="L8" s="29">
        <f>Processes!J5</f>
        <v>20.97429</v>
      </c>
      <c r="M8" s="35">
        <f t="shared" ref="M8:M31" si="18">L8*$C8</f>
        <v>7.6066758400000004E-3</v>
      </c>
      <c r="N8" s="13">
        <f t="shared" si="11"/>
        <v>2.786178393851484E-2</v>
      </c>
      <c r="P8" s="42" t="s">
        <v>169</v>
      </c>
      <c r="Q8" s="121">
        <f>SUM(F40:F44)</f>
        <v>4.0019259270454729E-4</v>
      </c>
      <c r="R8" s="121">
        <f>SUM($F$79:$F$82)</f>
        <v>2.3611308128634932E-4</v>
      </c>
      <c r="S8" s="121">
        <f>SUM($F$79:$F$82)</f>
        <v>2.3611308128634932E-4</v>
      </c>
      <c r="T8" s="121">
        <f>SUM($F$79:$F$82)</f>
        <v>2.3611308128634932E-4</v>
      </c>
      <c r="U8" s="121">
        <f>SUM($F$79:$F$82)</f>
        <v>2.3611308128634932E-4</v>
      </c>
      <c r="W8" s="42" t="s">
        <v>169</v>
      </c>
      <c r="X8" s="118">
        <f>SUM(I40:I44)</f>
        <v>1.1071191424159999E-3</v>
      </c>
      <c r="Y8" s="118">
        <f>SUM($I$79:$I$82)</f>
        <v>8.022247398577777E-5</v>
      </c>
      <c r="Z8" s="118">
        <f>SUM($I$79:$I$82)</f>
        <v>8.022247398577777E-5</v>
      </c>
      <c r="AA8" s="118">
        <f>SUM($I$79:$I$82)</f>
        <v>8.022247398577777E-5</v>
      </c>
      <c r="AB8" s="118">
        <f>SUM($I$79:$I$82)</f>
        <v>8.022247398577777E-5</v>
      </c>
      <c r="AD8" s="42" t="s">
        <v>169</v>
      </c>
      <c r="AE8" s="118">
        <f>SUM(M40:M44)</f>
        <v>1.1135381974693331E-3</v>
      </c>
      <c r="AF8" s="118"/>
      <c r="AG8" s="118">
        <f>SUM($M$79:$M$82)</f>
        <v>1.3944219403600001E-4</v>
      </c>
      <c r="AH8" s="118"/>
      <c r="AI8" s="118">
        <f>SUM($M$79:$M$82)</f>
        <v>1.3944219403600001E-4</v>
      </c>
      <c r="AJ8" s="118"/>
      <c r="AK8" s="118">
        <f>SUM($M$79:$M$82)</f>
        <v>1.3944219403600001E-4</v>
      </c>
      <c r="AL8" s="118"/>
      <c r="AM8" s="118">
        <f>SUM($M$79:$M$82)</f>
        <v>1.3944219403600001E-4</v>
      </c>
      <c r="AN8" s="151"/>
      <c r="AP8" s="42">
        <v>2000</v>
      </c>
      <c r="AQ8" s="118">
        <f t="shared" ref="AQ8:AQ24" si="19">AQ$6+AE$9*$AP8</f>
        <v>6434.2081797258425</v>
      </c>
      <c r="AR8" s="118">
        <f t="shared" si="12"/>
        <v>9521.0275118531008</v>
      </c>
      <c r="AS8" s="118">
        <f t="shared" si="13"/>
        <v>9305.7435364530993</v>
      </c>
      <c r="AT8" s="118">
        <f t="shared" si="14"/>
        <v>9338.8305602930996</v>
      </c>
      <c r="AU8" s="118">
        <f t="shared" si="15"/>
        <v>9822.8844386531</v>
      </c>
      <c r="AV8" s="118"/>
      <c r="AW8" s="42">
        <f t="shared" si="16"/>
        <v>2000</v>
      </c>
      <c r="AX8" s="118">
        <f t="shared" si="1"/>
        <v>3.2171040898629211</v>
      </c>
      <c r="AY8" s="118">
        <f t="shared" si="2"/>
        <v>4.7605137559265502</v>
      </c>
      <c r="AZ8" s="118">
        <f t="shared" si="3"/>
        <v>4.6528717682265492</v>
      </c>
      <c r="BA8" s="118">
        <f t="shared" si="4"/>
        <v>4.6694152801465494</v>
      </c>
      <c r="BB8" s="118">
        <f t="shared" si="5"/>
        <v>4.9114422193265499</v>
      </c>
    </row>
    <row r="9" spans="1:54">
      <c r="A9" s="7" t="s">
        <v>61</v>
      </c>
      <c r="B9" s="3">
        <v>2.5</v>
      </c>
      <c r="C9" s="35">
        <f t="shared" si="17"/>
        <v>1.6666666666666667E-5</v>
      </c>
      <c r="D9" s="35" t="s">
        <v>1</v>
      </c>
      <c r="E9" s="106">
        <f>Processes!H6</f>
        <v>56.396523670499995</v>
      </c>
      <c r="F9" s="35">
        <f t="shared" si="6"/>
        <v>9.39942061175E-4</v>
      </c>
      <c r="G9" s="13">
        <f t="shared" si="7"/>
        <v>2.3611765246196547E-4</v>
      </c>
      <c r="H9" s="29">
        <f>Processes!G6</f>
        <v>5.6316442999999996</v>
      </c>
      <c r="I9" s="35">
        <f t="shared" si="8"/>
        <v>9.3860738333333328E-5</v>
      </c>
      <c r="J9" s="13">
        <f t="shared" si="9"/>
        <v>3.536269682216751E-4</v>
      </c>
      <c r="K9" s="111">
        <f t="shared" si="10"/>
        <v>99.858004243368114</v>
      </c>
      <c r="L9" s="29">
        <f>Processes!J6</f>
        <v>6.0199005000000003</v>
      </c>
      <c r="M9" s="35">
        <f t="shared" si="18"/>
        <v>1.0033167500000001E-4</v>
      </c>
      <c r="N9" s="13">
        <f t="shared" si="11"/>
        <v>3.6749554073797514E-4</v>
      </c>
      <c r="P9" s="42" t="s">
        <v>170</v>
      </c>
      <c r="Q9" s="46">
        <f>F37</f>
        <v>3.3676643136561903</v>
      </c>
      <c r="R9" s="46"/>
      <c r="S9" s="46"/>
      <c r="T9" s="46"/>
      <c r="U9" s="46"/>
      <c r="V9" s="41"/>
      <c r="W9" s="42" t="s">
        <v>170</v>
      </c>
      <c r="X9" s="46">
        <f>I37+I38</f>
        <v>0.22884764399999999</v>
      </c>
      <c r="Y9" s="45"/>
      <c r="Z9" s="46"/>
      <c r="AA9" s="46"/>
      <c r="AB9" s="46"/>
      <c r="AD9" s="42" t="s">
        <v>170</v>
      </c>
      <c r="AE9" s="46">
        <f>M37+M38</f>
        <v>0.23210109519047617</v>
      </c>
      <c r="AF9" s="46"/>
      <c r="AG9" s="45"/>
      <c r="AH9" s="45"/>
      <c r="AI9" s="46"/>
      <c r="AJ9" s="46"/>
      <c r="AK9" s="46"/>
      <c r="AL9" s="46"/>
      <c r="AM9" s="46"/>
      <c r="AN9" s="36"/>
      <c r="AP9" s="42">
        <v>3000</v>
      </c>
      <c r="AQ9" s="118">
        <f t="shared" si="19"/>
        <v>6666.3092749163179</v>
      </c>
      <c r="AR9" s="118">
        <f t="shared" si="12"/>
        <v>9632.4347064530994</v>
      </c>
      <c r="AS9" s="118">
        <f t="shared" si="13"/>
        <v>9309.5087433531007</v>
      </c>
      <c r="AT9" s="118">
        <f t="shared" si="14"/>
        <v>9359.1392791131002</v>
      </c>
      <c r="AU9" s="118">
        <f t="shared" si="15"/>
        <v>10085.2200966531</v>
      </c>
      <c r="AV9" s="118"/>
      <c r="AW9" s="42">
        <f t="shared" si="16"/>
        <v>3000</v>
      </c>
      <c r="AX9" s="118">
        <f t="shared" si="1"/>
        <v>2.2221030916387727</v>
      </c>
      <c r="AY9" s="118">
        <f t="shared" si="2"/>
        <v>3.2108115688176997</v>
      </c>
      <c r="AZ9" s="118">
        <f t="shared" si="3"/>
        <v>3.1031695811177</v>
      </c>
      <c r="BA9" s="118">
        <f t="shared" si="4"/>
        <v>3.1197130930377002</v>
      </c>
      <c r="BB9" s="118">
        <f t="shared" si="5"/>
        <v>3.3617400322176998</v>
      </c>
    </row>
    <row r="10" spans="1:54">
      <c r="A10" s="7" t="s">
        <v>62</v>
      </c>
      <c r="B10" s="3">
        <v>21.2</v>
      </c>
      <c r="C10" s="35">
        <f t="shared" si="17"/>
        <v>1.4133333333333332E-4</v>
      </c>
      <c r="D10" s="35" t="s">
        <v>1</v>
      </c>
      <c r="E10" s="106">
        <f>Processes!H7</f>
        <v>74.579202517000013</v>
      </c>
      <c r="F10" s="35">
        <f t="shared" si="6"/>
        <v>1.0540527289069334E-2</v>
      </c>
      <c r="G10" s="13">
        <f t="shared" si="7"/>
        <v>2.6478276289659155E-3</v>
      </c>
      <c r="H10" s="29">
        <f>Processes!G7</f>
        <v>5.1792783</v>
      </c>
      <c r="I10" s="35">
        <f t="shared" si="8"/>
        <v>7.3200466639999993E-4</v>
      </c>
      <c r="J10" s="13">
        <f t="shared" si="9"/>
        <v>2.7578793380450255E-3</v>
      </c>
      <c r="K10" s="111">
        <f t="shared" si="10"/>
        <v>69.44668386363351</v>
      </c>
      <c r="L10" s="29">
        <f>Processes!J7</f>
        <v>5.8649728000000003</v>
      </c>
      <c r="M10" s="35">
        <f t="shared" si="18"/>
        <v>8.2891615573333331E-4</v>
      </c>
      <c r="N10" s="13">
        <f t="shared" si="11"/>
        <v>3.0361597260054204E-3</v>
      </c>
      <c r="P10" s="42" t="s">
        <v>180</v>
      </c>
      <c r="Q10" s="120"/>
      <c r="R10" s="120">
        <f>F74</f>
        <v>2.3577678925736003</v>
      </c>
      <c r="S10" s="120"/>
      <c r="T10" s="120"/>
      <c r="U10" s="120"/>
      <c r="V10" s="36"/>
      <c r="W10" s="42" t="s">
        <v>180</v>
      </c>
      <c r="X10" s="42"/>
      <c r="Y10" s="46">
        <f>I74</f>
        <v>0.10403524560000001</v>
      </c>
      <c r="Z10" s="120"/>
      <c r="AA10" s="120"/>
      <c r="AB10" s="120"/>
      <c r="AD10" s="42" t="s">
        <v>180</v>
      </c>
      <c r="AE10" s="42"/>
      <c r="AF10" s="42"/>
      <c r="AG10" s="46">
        <f>M74</f>
        <v>0.11140719460000001</v>
      </c>
      <c r="AH10" s="46"/>
      <c r="AI10" s="120"/>
      <c r="AJ10" s="120"/>
      <c r="AK10" s="120"/>
      <c r="AL10" s="120"/>
      <c r="AM10" s="120"/>
      <c r="AN10" s="152"/>
      <c r="AP10" s="42">
        <v>5000</v>
      </c>
      <c r="AQ10" s="118">
        <f t="shared" si="19"/>
        <v>7130.5114652972707</v>
      </c>
      <c r="AR10" s="118">
        <f t="shared" si="12"/>
        <v>9855.2490956531001</v>
      </c>
      <c r="AS10" s="118">
        <f t="shared" si="13"/>
        <v>9317.0391571530999</v>
      </c>
      <c r="AT10" s="118">
        <f t="shared" si="14"/>
        <v>9399.7567167530997</v>
      </c>
      <c r="AU10" s="118">
        <f t="shared" si="15"/>
        <v>10609.8914126531</v>
      </c>
      <c r="AV10" s="118"/>
      <c r="AW10" s="42">
        <f t="shared" si="16"/>
        <v>5000</v>
      </c>
      <c r="AX10" s="118">
        <f t="shared" si="1"/>
        <v>1.4261022930594542</v>
      </c>
      <c r="AY10" s="118">
        <f t="shared" si="2"/>
        <v>1.9710498191306201</v>
      </c>
      <c r="AZ10" s="118">
        <f t="shared" si="3"/>
        <v>1.8634078314306199</v>
      </c>
      <c r="BA10" s="118">
        <f t="shared" si="4"/>
        <v>1.8799513433506199</v>
      </c>
      <c r="BB10" s="118">
        <f t="shared" si="5"/>
        <v>2.1219782825306202</v>
      </c>
    </row>
    <row r="11" spans="1:54">
      <c r="A11" s="7" t="s">
        <v>64</v>
      </c>
      <c r="B11" s="3">
        <v>6.1</v>
      </c>
      <c r="C11" s="35">
        <f t="shared" si="17"/>
        <v>4.0666666666666661E-5</v>
      </c>
      <c r="D11" s="35" t="s">
        <v>1</v>
      </c>
      <c r="E11" s="106">
        <f>Processes!H8</f>
        <v>448.24729435900002</v>
      </c>
      <c r="F11" s="35">
        <f t="shared" si="6"/>
        <v>1.8228723303932666E-2</v>
      </c>
      <c r="G11" s="13">
        <f t="shared" si="7"/>
        <v>4.5791368762908837E-3</v>
      </c>
      <c r="H11" s="29">
        <f>Processes!G8</f>
        <v>27.933744999999998</v>
      </c>
      <c r="I11" s="35">
        <f t="shared" si="8"/>
        <v>1.1359722966666663E-3</v>
      </c>
      <c r="J11" s="13">
        <f t="shared" si="9"/>
        <v>4.2798559481540396E-3</v>
      </c>
      <c r="K11" s="111">
        <f t="shared" si="10"/>
        <v>62.317710227220992</v>
      </c>
      <c r="L11" s="29">
        <f>Processes!J8</f>
        <v>31.497869999999999</v>
      </c>
      <c r="M11" s="35">
        <f t="shared" si="18"/>
        <v>1.2809133799999998E-3</v>
      </c>
      <c r="N11" s="13">
        <f t="shared" si="11"/>
        <v>4.6917382294435657E-3</v>
      </c>
      <c r="P11" s="42" t="s">
        <v>172</v>
      </c>
      <c r="Q11" s="120"/>
      <c r="R11" s="120"/>
      <c r="S11" s="120">
        <f>F75</f>
        <v>5.07162009939E-2</v>
      </c>
      <c r="T11" s="120"/>
      <c r="U11" s="120"/>
      <c r="V11" s="36"/>
      <c r="W11" s="42" t="s">
        <v>172</v>
      </c>
      <c r="X11" s="42"/>
      <c r="Y11" s="46"/>
      <c r="Z11" s="121">
        <f>I75</f>
        <v>3.3340684000000005E-3</v>
      </c>
      <c r="AA11" s="120"/>
      <c r="AB11" s="120"/>
      <c r="AD11" s="42" t="s">
        <v>172</v>
      </c>
      <c r="AE11" s="42"/>
      <c r="AF11" s="42"/>
      <c r="AG11" s="46"/>
      <c r="AH11" s="46"/>
      <c r="AI11" s="121">
        <f>M75</f>
        <v>3.7652069E-3</v>
      </c>
      <c r="AJ11" s="121"/>
      <c r="AK11" s="120"/>
      <c r="AL11" s="121"/>
      <c r="AM11" s="120"/>
      <c r="AN11" s="152"/>
      <c r="AP11" s="42">
        <v>7000</v>
      </c>
      <c r="AQ11" s="118">
        <f t="shared" si="19"/>
        <v>7594.7136556782225</v>
      </c>
      <c r="AR11" s="118">
        <f t="shared" si="12"/>
        <v>10078.063484853101</v>
      </c>
      <c r="AS11" s="118">
        <f t="shared" si="13"/>
        <v>9324.5695709530992</v>
      </c>
      <c r="AT11" s="118">
        <f t="shared" si="14"/>
        <v>9440.3741543930992</v>
      </c>
      <c r="AU11" s="118">
        <f t="shared" si="15"/>
        <v>11134.5627286531</v>
      </c>
      <c r="AV11" s="118"/>
      <c r="AW11" s="42">
        <f t="shared" si="16"/>
        <v>7000</v>
      </c>
      <c r="AX11" s="118">
        <f t="shared" si="1"/>
        <v>1.0849590936683176</v>
      </c>
      <c r="AY11" s="118">
        <f t="shared" si="2"/>
        <v>1.4397233549790145</v>
      </c>
      <c r="AZ11" s="118">
        <f t="shared" si="3"/>
        <v>1.3320813672790142</v>
      </c>
      <c r="BA11" s="118">
        <f t="shared" si="4"/>
        <v>1.3486248791990141</v>
      </c>
      <c r="BB11" s="118">
        <f t="shared" si="5"/>
        <v>1.5906518183790144</v>
      </c>
    </row>
    <row r="12" spans="1:54">
      <c r="A12" s="7" t="s">
        <v>66</v>
      </c>
      <c r="B12" s="3">
        <v>19.399999999999999</v>
      </c>
      <c r="C12" s="35">
        <f t="shared" si="17"/>
        <v>1.2933333333333332E-4</v>
      </c>
      <c r="D12" s="35" t="s">
        <v>1</v>
      </c>
      <c r="E12" s="106">
        <f>Processes!H9</f>
        <v>66.770078626074806</v>
      </c>
      <c r="F12" s="35">
        <f t="shared" si="6"/>
        <v>8.6355968356390082E-3</v>
      </c>
      <c r="G12" s="13">
        <f t="shared" si="7"/>
        <v>2.1693005735801759E-3</v>
      </c>
      <c r="H12" s="29">
        <f>Processes!G9</f>
        <v>1.1303346000000001</v>
      </c>
      <c r="I12" s="35">
        <f t="shared" si="8"/>
        <v>1.461899416E-4</v>
      </c>
      <c r="J12" s="13">
        <f t="shared" si="9"/>
        <v>5.5078094153615217E-4</v>
      </c>
      <c r="K12" s="111">
        <f t="shared" si="10"/>
        <v>16.92875945721271</v>
      </c>
      <c r="L12" s="29">
        <f>Processes!J9</f>
        <v>1.4535583000000001</v>
      </c>
      <c r="M12" s="35">
        <f t="shared" si="18"/>
        <v>1.8799354013333334E-4</v>
      </c>
      <c r="N12" s="13">
        <f t="shared" si="11"/>
        <v>6.8858401583094821E-4</v>
      </c>
      <c r="P12" s="42" t="s">
        <v>171</v>
      </c>
      <c r="Q12" s="120"/>
      <c r="R12" s="120"/>
      <c r="S12" s="120"/>
      <c r="T12" s="120">
        <f>F76</f>
        <v>0.26680557414420003</v>
      </c>
      <c r="U12" s="120"/>
      <c r="V12" s="36"/>
      <c r="W12" s="42" t="s">
        <v>171</v>
      </c>
      <c r="X12" s="42"/>
      <c r="Y12" s="46"/>
      <c r="Z12" s="120"/>
      <c r="AA12" s="46">
        <f>I76</f>
        <v>1.777043788E-2</v>
      </c>
      <c r="AB12" s="46"/>
      <c r="AD12" s="42" t="s">
        <v>171</v>
      </c>
      <c r="AE12" s="42"/>
      <c r="AF12" s="42"/>
      <c r="AG12" s="46"/>
      <c r="AH12" s="46"/>
      <c r="AI12" s="120"/>
      <c r="AJ12" s="120"/>
      <c r="AK12" s="46">
        <f>M76</f>
        <v>2.0308718819999998E-2</v>
      </c>
      <c r="AL12" s="120"/>
      <c r="AM12" s="46"/>
      <c r="AN12" s="36"/>
      <c r="AP12" s="42">
        <v>10000</v>
      </c>
      <c r="AQ12" s="118">
        <f t="shared" si="19"/>
        <v>8291.0169412496507</v>
      </c>
      <c r="AR12" s="118">
        <f t="shared" si="12"/>
        <v>10412.2850686531</v>
      </c>
      <c r="AS12" s="118">
        <f t="shared" si="13"/>
        <v>9335.8651916530998</v>
      </c>
      <c r="AT12" s="118">
        <f t="shared" si="14"/>
        <v>9501.3003108530993</v>
      </c>
      <c r="AU12" s="118">
        <f t="shared" si="15"/>
        <v>11921.5697026531</v>
      </c>
      <c r="AV12" s="118"/>
      <c r="AW12" s="42">
        <f t="shared" si="16"/>
        <v>10000</v>
      </c>
      <c r="AX12" s="118">
        <f t="shared" si="1"/>
        <v>0.82910169412496504</v>
      </c>
      <c r="AY12" s="118">
        <f t="shared" si="2"/>
        <v>1.04122850686531</v>
      </c>
      <c r="AZ12" s="118">
        <f t="shared" si="3"/>
        <v>0.93358651916530999</v>
      </c>
      <c r="BA12" s="118">
        <f t="shared" si="4"/>
        <v>0.95013003108530991</v>
      </c>
      <c r="BB12" s="118">
        <f t="shared" si="5"/>
        <v>1.1921569702653099</v>
      </c>
    </row>
    <row r="13" spans="1:54">
      <c r="A13" s="7" t="s">
        <v>68</v>
      </c>
      <c r="B13" s="3">
        <v>5</v>
      </c>
      <c r="C13" s="35">
        <f t="shared" si="17"/>
        <v>3.3333333333333335E-5</v>
      </c>
      <c r="D13" s="35" t="s">
        <v>1</v>
      </c>
      <c r="E13" s="106">
        <f>Processes!H10</f>
        <v>49.878196202369999</v>
      </c>
      <c r="F13" s="35">
        <f t="shared" si="6"/>
        <v>1.662606540079E-3</v>
      </c>
      <c r="G13" s="13">
        <f t="shared" si="7"/>
        <v>4.1765420383530925E-4</v>
      </c>
      <c r="H13" s="29">
        <f>Processes!G10</f>
        <v>1.2878908</v>
      </c>
      <c r="I13" s="35">
        <f t="shared" si="8"/>
        <v>4.2929693333333334E-5</v>
      </c>
      <c r="J13" s="13">
        <f t="shared" si="9"/>
        <v>1.6174065503554185E-4</v>
      </c>
      <c r="K13" s="111">
        <f t="shared" si="10"/>
        <v>25.820717228318792</v>
      </c>
      <c r="L13" s="29">
        <f>Processes!J10</f>
        <v>1.5171342000000001</v>
      </c>
      <c r="M13" s="35">
        <f t="shared" si="18"/>
        <v>5.0571140000000004E-5</v>
      </c>
      <c r="N13" s="13">
        <f t="shared" si="11"/>
        <v>1.8523231511918687E-4</v>
      </c>
      <c r="P13" s="42" t="s">
        <v>249</v>
      </c>
      <c r="Q13" s="120"/>
      <c r="R13" s="120"/>
      <c r="S13" s="120"/>
      <c r="T13" s="120"/>
      <c r="U13" s="120">
        <f>F77</f>
        <v>2.6881507061032002</v>
      </c>
      <c r="V13" s="36"/>
      <c r="W13" s="42" t="s">
        <v>249</v>
      </c>
      <c r="X13" s="42"/>
      <c r="Y13" s="46"/>
      <c r="Z13" s="120"/>
      <c r="AA13" s="46"/>
      <c r="AB13" s="46">
        <f>I77</f>
        <v>0.25785832800000003</v>
      </c>
      <c r="AD13" s="42" t="s">
        <v>249</v>
      </c>
      <c r="AE13" s="42"/>
      <c r="AF13" s="42"/>
      <c r="AG13" s="46"/>
      <c r="AH13" s="46"/>
      <c r="AI13" s="120"/>
      <c r="AJ13" s="120"/>
      <c r="AK13" s="46"/>
      <c r="AL13" s="120"/>
      <c r="AM13" s="46">
        <f>M77</f>
        <v>0.26233565799999997</v>
      </c>
      <c r="AN13" s="36"/>
      <c r="AP13" s="42">
        <v>20000</v>
      </c>
      <c r="AQ13" s="118">
        <f t="shared" si="19"/>
        <v>10612.027893154413</v>
      </c>
      <c r="AR13" s="118">
        <f t="shared" si="12"/>
        <v>11526.3570146531</v>
      </c>
      <c r="AS13" s="118">
        <f t="shared" si="13"/>
        <v>9373.5172606530996</v>
      </c>
      <c r="AT13" s="118">
        <f t="shared" si="14"/>
        <v>9704.3874990531003</v>
      </c>
      <c r="AU13" s="118">
        <f t="shared" si="15"/>
        <v>14544.926282653099</v>
      </c>
      <c r="AV13" s="118"/>
      <c r="AW13" s="42">
        <f t="shared" si="16"/>
        <v>20000</v>
      </c>
      <c r="AX13" s="118">
        <f t="shared" si="1"/>
        <v>0.5306013946577206</v>
      </c>
      <c r="AY13" s="118">
        <f t="shared" si="2"/>
        <v>0.57631785073265496</v>
      </c>
      <c r="AZ13" s="118">
        <f t="shared" si="3"/>
        <v>0.46867586303265496</v>
      </c>
      <c r="BA13" s="118">
        <f t="shared" si="4"/>
        <v>0.48521937495265499</v>
      </c>
      <c r="BB13" s="118">
        <f t="shared" si="5"/>
        <v>0.72724631413265495</v>
      </c>
    </row>
    <row r="14" spans="1:54">
      <c r="A14" s="7" t="s">
        <v>70</v>
      </c>
      <c r="B14" s="3">
        <v>31.6</v>
      </c>
      <c r="C14" s="35">
        <f t="shared" si="17"/>
        <v>2.1066666666666667E-4</v>
      </c>
      <c r="D14" s="35" t="s">
        <v>1</v>
      </c>
      <c r="E14" s="106">
        <f>Processes!H11</f>
        <v>11.436900889899999</v>
      </c>
      <c r="F14" s="35">
        <f t="shared" si="6"/>
        <v>2.4093737874722665E-3</v>
      </c>
      <c r="G14" s="13">
        <f t="shared" si="7"/>
        <v>6.0524547852468973E-4</v>
      </c>
      <c r="H14" s="29">
        <f>Processes!G11</f>
        <v>0.95946891999999995</v>
      </c>
      <c r="I14" s="35">
        <f t="shared" si="8"/>
        <v>2.0212811914666667E-4</v>
      </c>
      <c r="J14" s="13">
        <f t="shared" si="9"/>
        <v>7.6153198062795186E-4</v>
      </c>
      <c r="K14" s="111">
        <f t="shared" si="10"/>
        <v>83.892387390303725</v>
      </c>
      <c r="L14" s="29">
        <f>Processes!J11</f>
        <v>1.0141070999999999</v>
      </c>
      <c r="M14" s="35">
        <f t="shared" si="18"/>
        <v>2.1363856239999999E-4</v>
      </c>
      <c r="N14" s="13">
        <f t="shared" si="11"/>
        <v>7.8251677759462923E-4</v>
      </c>
      <c r="P14" s="47" t="s">
        <v>52</v>
      </c>
      <c r="Q14" s="119">
        <f>SUM(Q6:Q9)</f>
        <v>3.9808207957954718</v>
      </c>
      <c r="R14" s="119">
        <f>SUM(R6:R10)</f>
        <v>2.9359837174403829</v>
      </c>
      <c r="S14" s="119">
        <f>SUM(S6:S8, S11)</f>
        <v>0.62893202586068253</v>
      </c>
      <c r="T14" s="119">
        <f>SUM(T6:T8,T12)</f>
        <v>0.84502139901098261</v>
      </c>
      <c r="U14" s="119">
        <f>SUM(U6:U8,U13)</f>
        <v>3.2663665309699828</v>
      </c>
      <c r="V14" s="41"/>
      <c r="W14" s="47" t="s">
        <v>52</v>
      </c>
      <c r="X14" s="149">
        <f>SUM(X6:X12)</f>
        <v>0.26542302134178763</v>
      </c>
      <c r="Y14" s="149">
        <f>SUM(Y6:Y12)</f>
        <v>0.14064062939836044</v>
      </c>
      <c r="Z14" s="149">
        <f>SUM(Z6:Z12)</f>
        <v>3.9939452198360446E-2</v>
      </c>
      <c r="AA14" s="149">
        <f>SUM(AA6:AA12)</f>
        <v>5.4375821678360442E-2</v>
      </c>
      <c r="AB14" s="149">
        <f>SUM(AB6:AB13)</f>
        <v>0.29446371179836045</v>
      </c>
      <c r="AD14" s="47" t="s">
        <v>52</v>
      </c>
      <c r="AE14" s="149">
        <f>SUM(AE6:AE9)</f>
        <v>0.27301467331691143</v>
      </c>
      <c r="AF14" s="149"/>
      <c r="AG14" s="149">
        <f>SUM(AG6:AG10)</f>
        <v>0.15287202845027201</v>
      </c>
      <c r="AH14" s="149"/>
      <c r="AI14" s="149">
        <f>SUM(AI6:AI8, AI11)</f>
        <v>4.5230040750271996E-2</v>
      </c>
      <c r="AJ14" s="149"/>
      <c r="AK14" s="149">
        <f>SUM(AK6:AK8, AK12)</f>
        <v>6.1773552670272E-2</v>
      </c>
      <c r="AL14" s="149"/>
      <c r="AM14" s="149">
        <f>SUM(AM6:AM8, AM13)</f>
        <v>0.30380049185027197</v>
      </c>
      <c r="AP14" s="42">
        <v>30000</v>
      </c>
      <c r="AQ14" s="118">
        <f t="shared" si="19"/>
        <v>12933.038845059174</v>
      </c>
      <c r="AR14" s="118">
        <f t="shared" si="12"/>
        <v>12640.4289606531</v>
      </c>
      <c r="AS14" s="118">
        <f t="shared" si="13"/>
        <v>9411.1693296530993</v>
      </c>
      <c r="AT14" s="118">
        <f t="shared" si="14"/>
        <v>9907.4746872530995</v>
      </c>
      <c r="AU14" s="118">
        <f t="shared" si="15"/>
        <v>17168.282862653097</v>
      </c>
      <c r="AV14" s="118"/>
      <c r="AW14" s="42">
        <f t="shared" si="16"/>
        <v>30000</v>
      </c>
      <c r="AX14" s="118">
        <f t="shared" si="1"/>
        <v>0.43110129483530579</v>
      </c>
      <c r="AY14" s="118">
        <f t="shared" si="2"/>
        <v>0.42134763202177</v>
      </c>
      <c r="AZ14" s="118">
        <f t="shared" si="3"/>
        <v>0.31370564432177001</v>
      </c>
      <c r="BA14" s="118">
        <f t="shared" si="4"/>
        <v>0.33024915624176998</v>
      </c>
      <c r="BB14" s="118">
        <f t="shared" si="5"/>
        <v>0.57227609542176994</v>
      </c>
    </row>
    <row r="15" spans="1:54">
      <c r="A15" s="7" t="s">
        <v>72</v>
      </c>
      <c r="B15" s="3">
        <v>2331</v>
      </c>
      <c r="C15" s="35">
        <f t="shared" si="17"/>
        <v>1.554E-2</v>
      </c>
      <c r="D15" s="35" t="s">
        <v>73</v>
      </c>
      <c r="E15" s="106">
        <f>Processes!H12</f>
        <v>0.66634296889010003</v>
      </c>
      <c r="F15" s="35">
        <f t="shared" si="6"/>
        <v>1.0354969736552155E-2</v>
      </c>
      <c r="G15" s="13">
        <f t="shared" si="7"/>
        <v>2.601214741313911E-3</v>
      </c>
      <c r="H15" s="29">
        <f>Processes!G12</f>
        <v>3.3782061000000002E-2</v>
      </c>
      <c r="I15" s="35">
        <f t="shared" si="8"/>
        <v>5.2497322794000008E-4</v>
      </c>
      <c r="J15" s="13">
        <f t="shared" si="9"/>
        <v>1.9778737552082464E-3</v>
      </c>
      <c r="K15" s="111">
        <f t="shared" si="10"/>
        <v>50.697707602842101</v>
      </c>
      <c r="L15" s="29">
        <f>Processes!J12</f>
        <v>3.7879734999999998E-2</v>
      </c>
      <c r="M15" s="35">
        <f t="shared" si="18"/>
        <v>5.8865108189999995E-4</v>
      </c>
      <c r="N15" s="13">
        <f t="shared" si="11"/>
        <v>2.1561151814602371E-3</v>
      </c>
      <c r="AD15" s="47" t="s">
        <v>244</v>
      </c>
      <c r="AE15" s="149"/>
      <c r="AF15" s="149">
        <v>0.273011</v>
      </c>
      <c r="AG15" s="149"/>
      <c r="AH15" s="149">
        <v>0.14781</v>
      </c>
      <c r="AI15" s="149"/>
      <c r="AJ15" s="149">
        <v>3.1087E-2</v>
      </c>
      <c r="AK15" s="149"/>
      <c r="AL15" s="149">
        <v>3.9528199999999999E-2</v>
      </c>
      <c r="AM15" s="149"/>
      <c r="AP15" s="42">
        <v>40000</v>
      </c>
      <c r="AQ15" s="118">
        <f t="shared" si="19"/>
        <v>15254.049796963936</v>
      </c>
      <c r="AR15" s="118">
        <f t="shared" si="12"/>
        <v>13754.5009066531</v>
      </c>
      <c r="AS15" s="118">
        <f t="shared" si="13"/>
        <v>9448.8213986531009</v>
      </c>
      <c r="AT15" s="118">
        <f t="shared" si="14"/>
        <v>10110.561875453101</v>
      </c>
      <c r="AU15" s="118">
        <f t="shared" si="15"/>
        <v>19791.639442653097</v>
      </c>
      <c r="AV15" s="118"/>
      <c r="AW15" s="42">
        <f t="shared" si="16"/>
        <v>40000</v>
      </c>
      <c r="AX15" s="118">
        <f t="shared" si="1"/>
        <v>0.38135124492409839</v>
      </c>
      <c r="AY15" s="118">
        <f t="shared" si="2"/>
        <v>0.3438625226663275</v>
      </c>
      <c r="AZ15" s="118">
        <f t="shared" si="3"/>
        <v>0.23622053496632753</v>
      </c>
      <c r="BA15" s="118">
        <f t="shared" si="4"/>
        <v>0.25276404688632753</v>
      </c>
      <c r="BB15" s="118">
        <f t="shared" si="5"/>
        <v>0.49479098606632743</v>
      </c>
    </row>
    <row r="16" spans="1:54">
      <c r="A16" s="7" t="s">
        <v>76</v>
      </c>
      <c r="B16" s="3">
        <v>13.7</v>
      </c>
      <c r="C16" s="35">
        <f t="shared" si="17"/>
        <v>9.1333333333333335E-5</v>
      </c>
      <c r="D16" s="35" t="s">
        <v>1</v>
      </c>
      <c r="E16" s="106">
        <f>Processes!H13</f>
        <v>16.665360323799998</v>
      </c>
      <c r="F16" s="35">
        <f t="shared" si="6"/>
        <v>1.5221029095737332E-3</v>
      </c>
      <c r="G16" s="13">
        <f t="shared" si="7"/>
        <v>3.8235906303076304E-4</v>
      </c>
      <c r="H16" s="29">
        <f>Processes!G13</f>
        <v>1.2213615</v>
      </c>
      <c r="I16" s="35">
        <f t="shared" si="8"/>
        <v>1.11551017E-4</v>
      </c>
      <c r="J16" s="13">
        <f t="shared" si="9"/>
        <v>4.2027634391349477E-4</v>
      </c>
      <c r="K16" s="111">
        <f t="shared" si="10"/>
        <v>73.287434311021727</v>
      </c>
      <c r="L16" s="29">
        <f>Processes!J13</f>
        <v>1.3573807</v>
      </c>
      <c r="M16" s="35">
        <f t="shared" si="18"/>
        <v>1.2397410393333332E-4</v>
      </c>
      <c r="N16" s="13">
        <f t="shared" si="11"/>
        <v>4.5409319003680794E-4</v>
      </c>
      <c r="AD16" s="1" t="s">
        <v>235</v>
      </c>
      <c r="AE16" s="1">
        <f>0.000000223314/0.000000083</f>
        <v>2.6905301204819279</v>
      </c>
      <c r="AG16" s="1">
        <f>0.000000120897/0.000000083</f>
        <v>1.4565903614457831</v>
      </c>
      <c r="AP16" s="42">
        <v>50000</v>
      </c>
      <c r="AQ16" s="118">
        <f t="shared" si="19"/>
        <v>17575.060748868698</v>
      </c>
      <c r="AR16" s="118">
        <f t="shared" si="12"/>
        <v>14868.5728526531</v>
      </c>
      <c r="AS16" s="118">
        <f t="shared" si="13"/>
        <v>9486.4734676531007</v>
      </c>
      <c r="AT16" s="118">
        <f t="shared" si="14"/>
        <v>10313.6490636531</v>
      </c>
      <c r="AU16" s="118">
        <f t="shared" si="15"/>
        <v>22414.996022653097</v>
      </c>
      <c r="AV16" s="118"/>
      <c r="AW16" s="42">
        <f t="shared" si="16"/>
        <v>50000</v>
      </c>
      <c r="AX16" s="118">
        <f t="shared" si="1"/>
        <v>0.35150121497737397</v>
      </c>
      <c r="AY16" s="118">
        <f t="shared" si="2"/>
        <v>0.297371457053062</v>
      </c>
      <c r="AZ16" s="118">
        <f t="shared" si="3"/>
        <v>0.18972946935306201</v>
      </c>
      <c r="BA16" s="118">
        <f t="shared" si="4"/>
        <v>0.20627298127306198</v>
      </c>
      <c r="BB16" s="118">
        <f t="shared" si="5"/>
        <v>0.44829992045306194</v>
      </c>
    </row>
    <row r="17" spans="1:54">
      <c r="A17" s="7" t="s">
        <v>101</v>
      </c>
      <c r="B17" s="3">
        <v>66.2</v>
      </c>
      <c r="C17" s="35">
        <f t="shared" si="17"/>
        <v>4.4133333333333335E-4</v>
      </c>
      <c r="D17" s="35" t="s">
        <v>73</v>
      </c>
      <c r="E17" s="106">
        <f>Processes!H14</f>
        <v>1.28</v>
      </c>
      <c r="F17" s="35">
        <f t="shared" si="6"/>
        <v>5.6490666666666664E-4</v>
      </c>
      <c r="G17" s="13">
        <f t="shared" si="7"/>
        <v>1.4190708289690381E-4</v>
      </c>
      <c r="H17" s="29">
        <f>Processes!G14</f>
        <v>8.5000000000000006E-2</v>
      </c>
      <c r="I17" s="35">
        <f t="shared" si="8"/>
        <v>3.7513333333333339E-5</v>
      </c>
      <c r="J17" s="13">
        <f t="shared" si="9"/>
        <v>1.4133413576445985E-4</v>
      </c>
      <c r="K17" s="111">
        <f t="shared" si="10"/>
        <v>66.406250000000014</v>
      </c>
      <c r="L17" s="29">
        <f>Processes!J14</f>
        <v>8.659E-2</v>
      </c>
      <c r="M17" s="35">
        <f t="shared" si="18"/>
        <v>3.8215053333333334E-5</v>
      </c>
      <c r="N17" s="13">
        <f t="shared" si="11"/>
        <v>1.399743569422507E-4</v>
      </c>
      <c r="U17" s="1">
        <f>0.024/0.065/55*100</f>
        <v>0.67132867132867136</v>
      </c>
      <c r="AP17" s="42">
        <v>60000</v>
      </c>
      <c r="AQ17" s="118">
        <f t="shared" si="19"/>
        <v>19896.07170077346</v>
      </c>
      <c r="AR17" s="118">
        <f t="shared" si="12"/>
        <v>15982.6447986531</v>
      </c>
      <c r="AS17" s="118">
        <f t="shared" si="13"/>
        <v>9524.1255366531004</v>
      </c>
      <c r="AT17" s="118">
        <f t="shared" si="14"/>
        <v>10516.736251853101</v>
      </c>
      <c r="AU17" s="118">
        <f t="shared" si="15"/>
        <v>25038.352602653096</v>
      </c>
      <c r="AV17" s="118"/>
      <c r="AW17" s="42">
        <f t="shared" si="16"/>
        <v>60000</v>
      </c>
      <c r="AX17" s="118">
        <f t="shared" si="1"/>
        <v>0.33160119501289098</v>
      </c>
      <c r="AY17" s="118">
        <f t="shared" si="2"/>
        <v>0.26637741331088499</v>
      </c>
      <c r="AZ17" s="118">
        <f t="shared" si="3"/>
        <v>0.15873542561088499</v>
      </c>
      <c r="BA17" s="118">
        <f t="shared" si="4"/>
        <v>0.17527893753088503</v>
      </c>
      <c r="BB17" s="118">
        <f t="shared" si="5"/>
        <v>0.41730587671088493</v>
      </c>
    </row>
    <row r="18" spans="1:54">
      <c r="A18" s="7" t="s">
        <v>78</v>
      </c>
      <c r="B18" s="3">
        <v>1.5</v>
      </c>
      <c r="C18" s="35">
        <f t="shared" si="17"/>
        <v>1.0000000000000001E-5</v>
      </c>
      <c r="D18" s="35" t="s">
        <v>1</v>
      </c>
      <c r="E18" s="106">
        <f>Processes!H15</f>
        <v>275.14105886200002</v>
      </c>
      <c r="F18" s="35">
        <f t="shared" si="6"/>
        <v>2.7514105886200005E-3</v>
      </c>
      <c r="G18" s="13">
        <f t="shared" si="7"/>
        <v>6.9116665375292203E-4</v>
      </c>
      <c r="H18" s="29">
        <f>Processes!G15</f>
        <v>14.802611000000001</v>
      </c>
      <c r="I18" s="35">
        <f t="shared" si="8"/>
        <v>1.4802611000000002E-4</v>
      </c>
      <c r="J18" s="13">
        <f t="shared" si="9"/>
        <v>5.5769883581193E-4</v>
      </c>
      <c r="K18" s="111">
        <f t="shared" si="10"/>
        <v>53.800080079739793</v>
      </c>
      <c r="L18" s="29">
        <f>Processes!J15</f>
        <v>18.711015</v>
      </c>
      <c r="M18" s="35">
        <f t="shared" si="18"/>
        <v>1.8711015000000001E-4</v>
      </c>
      <c r="N18" s="13">
        <f t="shared" si="11"/>
        <v>6.8534832844975059E-4</v>
      </c>
      <c r="AP18" s="42">
        <v>70000</v>
      </c>
      <c r="AQ18" s="118">
        <f t="shared" si="19"/>
        <v>22217.082652678222</v>
      </c>
      <c r="AR18" s="118">
        <f t="shared" si="12"/>
        <v>17096.716744653102</v>
      </c>
      <c r="AS18" s="118">
        <f t="shared" si="13"/>
        <v>9561.7776056531002</v>
      </c>
      <c r="AT18" s="118">
        <f t="shared" si="14"/>
        <v>10719.8234400531</v>
      </c>
      <c r="AU18" s="118">
        <f t="shared" si="15"/>
        <v>27661.709182653096</v>
      </c>
      <c r="AV18" s="118"/>
      <c r="AW18" s="42">
        <f t="shared" si="16"/>
        <v>70000</v>
      </c>
      <c r="AX18" s="118">
        <f t="shared" si="1"/>
        <v>0.31738689503826034</v>
      </c>
      <c r="AY18" s="118">
        <f t="shared" si="2"/>
        <v>0.24423881063790145</v>
      </c>
      <c r="AZ18" s="118">
        <f t="shared" si="3"/>
        <v>0.13659682293790143</v>
      </c>
      <c r="BA18" s="118">
        <f t="shared" si="4"/>
        <v>0.15314033485790143</v>
      </c>
      <c r="BB18" s="118">
        <f t="shared" si="5"/>
        <v>0.39516727403790136</v>
      </c>
    </row>
    <row r="19" spans="1:54">
      <c r="A19" s="7" t="s">
        <v>80</v>
      </c>
      <c r="B19" s="3">
        <v>107.1</v>
      </c>
      <c r="C19" s="35">
        <f t="shared" si="17"/>
        <v>7.1400000000000001E-4</v>
      </c>
      <c r="D19" s="35" t="s">
        <v>1</v>
      </c>
      <c r="E19" s="106">
        <f>Processes!H16</f>
        <v>79.357703812899999</v>
      </c>
      <c r="F19" s="35">
        <f t="shared" si="6"/>
        <v>5.6661400522410602E-2</v>
      </c>
      <c r="G19" s="13">
        <f t="shared" si="7"/>
        <v>1.4233597398369744E-2</v>
      </c>
      <c r="H19" s="29">
        <f>Processes!G16</f>
        <v>1.9192517</v>
      </c>
      <c r="I19" s="35">
        <f t="shared" si="8"/>
        <v>1.3703457138E-3</v>
      </c>
      <c r="J19" s="13">
        <f t="shared" si="9"/>
        <v>5.1628743688942992E-3</v>
      </c>
      <c r="K19" s="111">
        <f t="shared" si="10"/>
        <v>24.184818962567004</v>
      </c>
      <c r="L19" s="29">
        <f>Processes!J16</f>
        <v>2.3153990000000002</v>
      </c>
      <c r="M19" s="35">
        <f t="shared" si="18"/>
        <v>1.6531948860000001E-3</v>
      </c>
      <c r="N19" s="13">
        <f t="shared" si="11"/>
        <v>6.0553334585097384E-3</v>
      </c>
      <c r="AP19" s="42">
        <v>80000</v>
      </c>
      <c r="AQ19" s="118">
        <f t="shared" si="19"/>
        <v>24538.093604582984</v>
      </c>
      <c r="AR19" s="118">
        <f t="shared" si="12"/>
        <v>18210.788690653098</v>
      </c>
      <c r="AS19" s="118">
        <f t="shared" si="13"/>
        <v>9599.4296746530999</v>
      </c>
      <c r="AT19" s="118">
        <f t="shared" si="14"/>
        <v>10922.910628253099</v>
      </c>
      <c r="AU19" s="118">
        <f t="shared" si="15"/>
        <v>30285.065762653096</v>
      </c>
      <c r="AV19" s="118"/>
      <c r="AW19" s="42">
        <f t="shared" si="16"/>
        <v>80000</v>
      </c>
      <c r="AX19" s="118">
        <f t="shared" si="1"/>
        <v>0.30672617005728731</v>
      </c>
      <c r="AY19" s="118">
        <f t="shared" si="2"/>
        <v>0.22763485863316374</v>
      </c>
      <c r="AZ19" s="118">
        <f t="shared" si="3"/>
        <v>0.11999287093316376</v>
      </c>
      <c r="BA19" s="118">
        <f t="shared" si="4"/>
        <v>0.13653638285316375</v>
      </c>
      <c r="BB19" s="118">
        <f t="shared" si="5"/>
        <v>0.37856332203316367</v>
      </c>
    </row>
    <row r="20" spans="1:54">
      <c r="A20" s="7" t="s">
        <v>44</v>
      </c>
      <c r="B20" s="3">
        <v>51.4</v>
      </c>
      <c r="C20" s="35">
        <f t="shared" si="17"/>
        <v>3.4266666666666668E-4</v>
      </c>
      <c r="D20" s="35" t="s">
        <v>1</v>
      </c>
      <c r="E20" s="106">
        <f>Processes!H17</f>
        <v>77.070942857709994</v>
      </c>
      <c r="F20" s="35">
        <f t="shared" si="6"/>
        <v>2.6409643085908627E-2</v>
      </c>
      <c r="G20" s="13">
        <f t="shared" si="7"/>
        <v>6.6342205390914344E-3</v>
      </c>
      <c r="H20" s="29">
        <f>Processes!G17</f>
        <v>1.5167522</v>
      </c>
      <c r="I20" s="35">
        <f t="shared" si="8"/>
        <v>5.197404205333334E-4</v>
      </c>
      <c r="J20" s="13">
        <f t="shared" si="9"/>
        <v>1.9581587833108829E-3</v>
      </c>
      <c r="K20" s="111">
        <f t="shared" si="10"/>
        <v>19.679948677937677</v>
      </c>
      <c r="L20" s="29">
        <f>Processes!J17</f>
        <v>1.9003220999999999</v>
      </c>
      <c r="M20" s="35">
        <f t="shared" si="18"/>
        <v>6.511770396E-4</v>
      </c>
      <c r="N20" s="13">
        <f t="shared" si="11"/>
        <v>2.3851356840594541E-3</v>
      </c>
      <c r="AP20" s="42">
        <v>90000</v>
      </c>
      <c r="AQ20" s="118">
        <f t="shared" si="19"/>
        <v>26859.104556487746</v>
      </c>
      <c r="AR20" s="118">
        <f t="shared" si="12"/>
        <v>19324.860636653102</v>
      </c>
      <c r="AS20" s="118">
        <f t="shared" si="13"/>
        <v>9637.0817436530997</v>
      </c>
      <c r="AT20" s="118">
        <f t="shared" si="14"/>
        <v>11125.9978164531</v>
      </c>
      <c r="AU20" s="118">
        <f t="shared" si="15"/>
        <v>32908.422342653095</v>
      </c>
      <c r="AV20" s="118"/>
      <c r="AW20" s="42">
        <f t="shared" si="16"/>
        <v>90000</v>
      </c>
      <c r="AX20" s="118">
        <f t="shared" si="1"/>
        <v>0.29843449507208608</v>
      </c>
      <c r="AY20" s="118">
        <f t="shared" si="2"/>
        <v>0.21472067374059003</v>
      </c>
      <c r="AZ20" s="118">
        <f t="shared" si="3"/>
        <v>0.10707868604059</v>
      </c>
      <c r="BA20" s="118">
        <f t="shared" si="4"/>
        <v>0.12362219796059</v>
      </c>
      <c r="BB20" s="118">
        <f t="shared" si="5"/>
        <v>0.36564913714058994</v>
      </c>
    </row>
    <row r="21" spans="1:54">
      <c r="A21" s="7" t="s">
        <v>82</v>
      </c>
      <c r="B21" s="3">
        <v>16.8</v>
      </c>
      <c r="C21" s="35">
        <f t="shared" si="17"/>
        <v>1.12E-4</v>
      </c>
      <c r="D21" s="35" t="s">
        <v>1</v>
      </c>
      <c r="E21" s="106">
        <f>Processes!H18</f>
        <v>57.351666661800003</v>
      </c>
      <c r="F21" s="35">
        <f t="shared" si="6"/>
        <v>6.4233866661216003E-3</v>
      </c>
      <c r="G21" s="13">
        <f t="shared" si="7"/>
        <v>1.6135834782881856E-3</v>
      </c>
      <c r="H21" s="29">
        <f>Processes!G18</f>
        <v>2.1136887999999998</v>
      </c>
      <c r="I21" s="35">
        <f t="shared" si="8"/>
        <v>2.3673314559999998E-4</v>
      </c>
      <c r="J21" s="13">
        <f t="shared" si="9"/>
        <v>8.9190886458622798E-4</v>
      </c>
      <c r="K21" s="111">
        <f t="shared" si="10"/>
        <v>36.854880128668626</v>
      </c>
      <c r="L21" s="29">
        <f>Processes!J18</f>
        <v>2.4231058000000001</v>
      </c>
      <c r="M21" s="35">
        <f t="shared" si="18"/>
        <v>2.7138784959999999E-4</v>
      </c>
      <c r="N21" s="13">
        <f t="shared" si="11"/>
        <v>9.9404125903876568E-4</v>
      </c>
      <c r="AP21" s="42">
        <v>100000</v>
      </c>
      <c r="AQ21" s="118">
        <f t="shared" si="19"/>
        <v>29180.115508392504</v>
      </c>
      <c r="AR21" s="118">
        <f t="shared" si="12"/>
        <v>20438.932582653099</v>
      </c>
      <c r="AS21" s="118">
        <f t="shared" si="13"/>
        <v>9674.7338126530994</v>
      </c>
      <c r="AT21" s="118">
        <f t="shared" si="14"/>
        <v>11329.0850046531</v>
      </c>
      <c r="AU21" s="118">
        <f t="shared" si="15"/>
        <v>35531.778922653095</v>
      </c>
      <c r="AV21" s="118"/>
      <c r="AW21" s="42">
        <f t="shared" si="16"/>
        <v>100000</v>
      </c>
      <c r="AX21" s="118">
        <f t="shared" si="1"/>
        <v>0.29180115508392507</v>
      </c>
      <c r="AY21" s="118">
        <f t="shared" si="2"/>
        <v>0.20438932582653099</v>
      </c>
      <c r="AZ21" s="118">
        <f t="shared" si="3"/>
        <v>9.6747338126530996E-2</v>
      </c>
      <c r="BA21" s="118">
        <f t="shared" si="4"/>
        <v>0.113290850046531</v>
      </c>
      <c r="BB21" s="118">
        <f t="shared" si="5"/>
        <v>0.35531778922653096</v>
      </c>
    </row>
    <row r="22" spans="1:54">
      <c r="A22" s="7" t="s">
        <v>83</v>
      </c>
      <c r="B22" s="3">
        <v>213.2</v>
      </c>
      <c r="C22" s="35">
        <f t="shared" si="17"/>
        <v>1.4213333333333333E-3</v>
      </c>
      <c r="D22" s="35" t="s">
        <v>1</v>
      </c>
      <c r="E22" s="106">
        <f>Processes!H19</f>
        <v>1.5173103058000001</v>
      </c>
      <c r="F22" s="35">
        <f t="shared" si="6"/>
        <v>2.1566037146437335E-3</v>
      </c>
      <c r="G22" s="13">
        <f t="shared" si="7"/>
        <v>5.4174850496197424E-4</v>
      </c>
      <c r="H22" s="29">
        <f>Processes!G19</f>
        <v>0.15973424999999999</v>
      </c>
      <c r="I22" s="35">
        <f t="shared" si="8"/>
        <v>2.2703561399999998E-4</v>
      </c>
      <c r="J22" s="13">
        <f t="shared" si="9"/>
        <v>8.553727286060999E-4</v>
      </c>
      <c r="K22" s="111">
        <f t="shared" si="10"/>
        <v>105.27460954387988</v>
      </c>
      <c r="L22" s="29">
        <f>Processes!J19</f>
        <v>0.17059246</v>
      </c>
      <c r="M22" s="35">
        <f t="shared" si="18"/>
        <v>2.4246874981333333E-4</v>
      </c>
      <c r="N22" s="13">
        <f t="shared" si="11"/>
        <v>8.8811618389418622E-4</v>
      </c>
      <c r="AP22" s="42">
        <v>110000</v>
      </c>
      <c r="AQ22" s="118">
        <f t="shared" si="19"/>
        <v>31501.126460297266</v>
      </c>
      <c r="AR22" s="118">
        <f t="shared" si="12"/>
        <v>21553.004528653102</v>
      </c>
      <c r="AS22" s="118">
        <f t="shared" si="13"/>
        <v>9712.3858816530992</v>
      </c>
      <c r="AT22" s="118">
        <f t="shared" si="14"/>
        <v>11532.172192853101</v>
      </c>
      <c r="AU22" s="118">
        <f t="shared" si="15"/>
        <v>38155.135502653095</v>
      </c>
      <c r="AV22" s="118"/>
      <c r="AW22" s="42">
        <f t="shared" si="16"/>
        <v>110000</v>
      </c>
      <c r="AX22" s="118">
        <f t="shared" si="1"/>
        <v>0.28637387691179333</v>
      </c>
      <c r="AY22" s="118">
        <f t="shared" si="2"/>
        <v>0.1959364048059373</v>
      </c>
      <c r="AZ22" s="118">
        <f t="shared" si="3"/>
        <v>8.8294417105937259E-2</v>
      </c>
      <c r="BA22" s="118">
        <f t="shared" si="4"/>
        <v>0.10483792902593728</v>
      </c>
      <c r="BB22" s="118">
        <f t="shared" si="5"/>
        <v>0.3468648682059372</v>
      </c>
    </row>
    <row r="23" spans="1:54">
      <c r="A23" s="7" t="s">
        <v>84</v>
      </c>
      <c r="B23" s="3">
        <v>568.1</v>
      </c>
      <c r="C23" s="35">
        <f t="shared" si="17"/>
        <v>3.7873333333333335E-3</v>
      </c>
      <c r="D23" s="35" t="s">
        <v>1</v>
      </c>
      <c r="E23" s="106">
        <f>Processes!H20</f>
        <v>4.9637526903799998</v>
      </c>
      <c r="F23" s="35">
        <f t="shared" si="6"/>
        <v>1.8799386022699188E-2</v>
      </c>
      <c r="G23" s="13">
        <f t="shared" si="7"/>
        <v>4.7224899052363848E-3</v>
      </c>
      <c r="H23" s="29">
        <f>Processes!G20</f>
        <v>0.28371059999999998</v>
      </c>
      <c r="I23" s="35">
        <f t="shared" si="8"/>
        <v>1.0745066123999999E-3</v>
      </c>
      <c r="J23" s="13">
        <f t="shared" si="9"/>
        <v>4.0482796366647792E-3</v>
      </c>
      <c r="K23" s="111">
        <f t="shared" si="10"/>
        <v>57.156473679650723</v>
      </c>
      <c r="L23" s="29">
        <f>Processes!J20</f>
        <v>0.31869152000000001</v>
      </c>
      <c r="M23" s="35">
        <f t="shared" si="18"/>
        <v>1.2069910167466667E-3</v>
      </c>
      <c r="N23" s="13">
        <f t="shared" si="11"/>
        <v>4.4209748951683963E-3</v>
      </c>
      <c r="AP23" s="42">
        <v>120000</v>
      </c>
      <c r="AQ23" s="118">
        <f t="shared" si="19"/>
        <v>33822.137412202028</v>
      </c>
      <c r="AR23" s="118">
        <f t="shared" si="12"/>
        <v>22667.076474653099</v>
      </c>
      <c r="AS23" s="118">
        <f t="shared" si="13"/>
        <v>9750.0379506531008</v>
      </c>
      <c r="AT23" s="118">
        <f t="shared" si="14"/>
        <v>11735.2593810531</v>
      </c>
      <c r="AU23" s="118">
        <f t="shared" si="15"/>
        <v>40778.492082653094</v>
      </c>
      <c r="AV23" s="118"/>
      <c r="AW23" s="42">
        <f t="shared" si="16"/>
        <v>120000</v>
      </c>
      <c r="AX23" s="118">
        <f t="shared" si="1"/>
        <v>0.28185114510168358</v>
      </c>
      <c r="AY23" s="118">
        <f t="shared" si="2"/>
        <v>0.18889230395544249</v>
      </c>
      <c r="AZ23" s="118">
        <f t="shared" si="3"/>
        <v>8.1250316255442503E-2</v>
      </c>
      <c r="BA23" s="118">
        <f t="shared" si="4"/>
        <v>9.7793828175442493E-2</v>
      </c>
      <c r="BB23" s="118">
        <f t="shared" si="5"/>
        <v>0.33982076735544248</v>
      </c>
    </row>
    <row r="24" spans="1:54">
      <c r="A24" s="7" t="s">
        <v>86</v>
      </c>
      <c r="B24" s="3">
        <v>1039.5</v>
      </c>
      <c r="C24" s="35">
        <f t="shared" si="17"/>
        <v>6.9300000000000004E-3</v>
      </c>
      <c r="D24" s="35" t="s">
        <v>1</v>
      </c>
      <c r="E24" s="106">
        <f>Processes!H21</f>
        <v>25.220541009999998</v>
      </c>
      <c r="F24" s="35">
        <f t="shared" si="6"/>
        <v>0.17477834919929999</v>
      </c>
      <c r="G24" s="13">
        <f t="shared" si="7"/>
        <v>4.3905103536411444E-2</v>
      </c>
      <c r="H24" s="29">
        <f>Processes!G21</f>
        <v>1.9191216</v>
      </c>
      <c r="I24" s="35">
        <f t="shared" si="8"/>
        <v>1.3299512688E-2</v>
      </c>
      <c r="J24" s="13">
        <f t="shared" si="9"/>
        <v>5.0106854412127637E-2</v>
      </c>
      <c r="K24" s="111">
        <f t="shared" si="10"/>
        <v>76.093593679812983</v>
      </c>
      <c r="L24" s="29">
        <f>Processes!J21</f>
        <v>2.2139538000000001</v>
      </c>
      <c r="M24" s="35">
        <f t="shared" si="18"/>
        <v>1.5342699834000002E-2</v>
      </c>
      <c r="N24" s="13">
        <f t="shared" si="11"/>
        <v>5.6197345174156331E-2</v>
      </c>
      <c r="AP24" s="42">
        <v>130000</v>
      </c>
      <c r="AQ24" s="118">
        <f t="shared" si="19"/>
        <v>36143.14836410679</v>
      </c>
      <c r="AR24" s="118">
        <f t="shared" si="12"/>
        <v>23781.148420653102</v>
      </c>
      <c r="AS24" s="118">
        <f t="shared" si="13"/>
        <v>9787.6900196531005</v>
      </c>
      <c r="AT24" s="118">
        <f t="shared" si="14"/>
        <v>11938.346569253099</v>
      </c>
      <c r="AU24" s="118">
        <f t="shared" si="15"/>
        <v>43401.848662653094</v>
      </c>
      <c r="AV24" s="118"/>
      <c r="AW24" s="42">
        <f t="shared" si="16"/>
        <v>130000</v>
      </c>
      <c r="AX24" s="118">
        <f t="shared" si="1"/>
        <v>0.27802421818543682</v>
      </c>
      <c r="AY24" s="118">
        <f t="shared" si="2"/>
        <v>0.18293191092810079</v>
      </c>
      <c r="AZ24" s="118">
        <f t="shared" si="3"/>
        <v>7.5289923228100769E-2</v>
      </c>
      <c r="BA24" s="118">
        <f t="shared" si="4"/>
        <v>9.1833435148100759E-2</v>
      </c>
      <c r="BB24" s="118">
        <f t="shared" si="5"/>
        <v>0.33386037432810073</v>
      </c>
    </row>
    <row r="25" spans="1:54">
      <c r="A25" s="7" t="s">
        <v>277</v>
      </c>
      <c r="B25" s="35">
        <v>1.6800000000000001E-3</v>
      </c>
      <c r="C25" s="35">
        <f>B25/$B$4</f>
        <v>1.1200000000000001E-8</v>
      </c>
      <c r="D25" s="35" t="s">
        <v>1</v>
      </c>
      <c r="E25" s="253">
        <f>Processes!H50</f>
        <v>1095329.1699570001</v>
      </c>
      <c r="F25" s="35">
        <f>E25*$C25</f>
        <v>1.2267686703518401E-2</v>
      </c>
      <c r="G25" s="13">
        <f t="shared" si="7"/>
        <v>3.0816978037482841E-3</v>
      </c>
      <c r="H25" s="124">
        <f>Processes!G50</f>
        <v>63383.94</v>
      </c>
      <c r="I25" s="35">
        <f>H25*$C25</f>
        <v>7.099001280000001E-4</v>
      </c>
      <c r="J25" s="13">
        <f t="shared" si="9"/>
        <v>2.6745989266916499E-3</v>
      </c>
      <c r="K25" s="111">
        <f t="shared" si="10"/>
        <v>57.867481062782531</v>
      </c>
      <c r="L25" s="124">
        <f>Processes!J50</f>
        <v>69212.2</v>
      </c>
      <c r="M25" s="35">
        <f>L25*$C25</f>
        <v>7.7517664000000008E-4</v>
      </c>
      <c r="N25" s="13">
        <f t="shared" si="11"/>
        <v>2.839322262727565E-3</v>
      </c>
      <c r="O25" s="254"/>
      <c r="Q25" s="36"/>
      <c r="R25" s="36"/>
      <c r="S25" s="36"/>
      <c r="T25" s="36"/>
      <c r="U25" s="36"/>
      <c r="V25" s="41"/>
      <c r="X25" s="36"/>
      <c r="Y25" s="41"/>
      <c r="Z25" s="36"/>
      <c r="AA25" s="36"/>
      <c r="AB25" s="36"/>
      <c r="AE25" s="36"/>
      <c r="AF25" s="36"/>
      <c r="AG25" s="41"/>
      <c r="AH25" s="41"/>
      <c r="AI25" s="36"/>
      <c r="AJ25" s="36"/>
      <c r="AK25" s="36"/>
      <c r="AL25" s="36"/>
      <c r="AM25" s="36"/>
      <c r="AN25" s="36"/>
      <c r="AP25" s="42">
        <v>140000</v>
      </c>
      <c r="AQ25" s="118">
        <f t="shared" ref="AQ25:AQ46" si="20">AQ$6+AE$9*$AP25</f>
        <v>38464.159316011552</v>
      </c>
      <c r="AR25" s="118">
        <f t="shared" si="12"/>
        <v>24895.220366653102</v>
      </c>
      <c r="AS25" s="118">
        <f t="shared" si="13"/>
        <v>9825.3420886531003</v>
      </c>
      <c r="AT25" s="118">
        <f t="shared" si="14"/>
        <v>12141.4337574531</v>
      </c>
      <c r="AU25" s="118">
        <f t="shared" si="15"/>
        <v>46025.205242653094</v>
      </c>
      <c r="AV25" s="118"/>
      <c r="AW25" s="42">
        <f>AP25</f>
        <v>140000</v>
      </c>
      <c r="AX25" s="118">
        <f t="shared" ref="AX25:AX46" si="21">AQ25/$AW25</f>
        <v>0.2747439951143682</v>
      </c>
      <c r="AY25" s="118">
        <f t="shared" ref="AY25:AY46" si="22">AR25/$AW25</f>
        <v>0.17782300261895073</v>
      </c>
      <c r="AZ25" s="118">
        <f t="shared" ref="AZ25:AZ46" si="23">AS25/$AW25</f>
        <v>7.0181014918950721E-2</v>
      </c>
      <c r="BA25" s="118">
        <f t="shared" ref="BA25:BA46" si="24">AT25/$AW25</f>
        <v>8.6724526838950711E-2</v>
      </c>
      <c r="BB25" s="118">
        <f t="shared" ref="BB25:BB46" si="25">AU25/$AW25</f>
        <v>0.32875146601895067</v>
      </c>
    </row>
    <row r="26" spans="1:54">
      <c r="A26" s="7" t="s">
        <v>291</v>
      </c>
      <c r="B26" s="35">
        <v>3.1500000000000001E-4</v>
      </c>
      <c r="C26" s="35">
        <f>B26/$B$4</f>
        <v>2.1000000000000002E-9</v>
      </c>
      <c r="D26" s="35" t="s">
        <v>1</v>
      </c>
      <c r="E26" s="253">
        <f>Processes!H52</f>
        <v>177394.82581760001</v>
      </c>
      <c r="F26" s="35">
        <f>E26*$C26</f>
        <v>3.7252913421696005E-4</v>
      </c>
      <c r="G26" s="13">
        <f t="shared" ref="G26" si="26">F26/F$47</f>
        <v>9.3580985763143105E-5</v>
      </c>
      <c r="H26" s="124">
        <f>Processes!G52</f>
        <v>10203.118</v>
      </c>
      <c r="I26" s="35">
        <f>H26*$C26</f>
        <v>2.1426547800000004E-5</v>
      </c>
      <c r="J26" s="13">
        <f t="shared" ref="J26" si="27">I26/I$47</f>
        <v>8.0726033829630936E-5</v>
      </c>
      <c r="K26" s="111">
        <f t="shared" ref="K26" si="28">I26/F26*$B$2</f>
        <v>57.516435177714811</v>
      </c>
      <c r="L26" s="124">
        <f>Processes!J52</f>
        <v>11194.083000000001</v>
      </c>
      <c r="M26" s="35">
        <f>L26*$C26</f>
        <v>2.3507574300000002E-5</v>
      </c>
      <c r="N26" s="13">
        <f t="shared" ref="N26" si="29">M26/M$47</f>
        <v>8.6103702831798903E-5</v>
      </c>
      <c r="Q26" s="36"/>
      <c r="R26" s="36"/>
      <c r="S26" s="36"/>
      <c r="T26" s="36"/>
      <c r="U26" s="36"/>
      <c r="V26" s="41"/>
      <c r="X26" s="36"/>
      <c r="Y26" s="41"/>
      <c r="Z26" s="36"/>
      <c r="AA26" s="36"/>
      <c r="AB26" s="36"/>
      <c r="AE26" s="36"/>
      <c r="AF26" s="36"/>
      <c r="AG26" s="41"/>
      <c r="AH26" s="41"/>
      <c r="AI26" s="36"/>
      <c r="AJ26" s="36"/>
      <c r="AK26" s="36"/>
      <c r="AL26" s="36"/>
      <c r="AM26" s="36"/>
      <c r="AN26" s="36"/>
      <c r="AP26" s="42">
        <v>150000</v>
      </c>
      <c r="AQ26" s="118">
        <f t="shared" si="20"/>
        <v>40785.170267916321</v>
      </c>
      <c r="AR26" s="118">
        <f t="shared" ref="AR26:AR46" si="30">AR$6+AG$10*$AP26</f>
        <v>26009.292312653102</v>
      </c>
      <c r="AS26" s="118">
        <f t="shared" ref="AS26:AS46" si="31">AS$6+AI$11*$AP26</f>
        <v>9862.9941576531</v>
      </c>
      <c r="AT26" s="118">
        <f t="shared" ref="AT26:AT46" si="32">AT$6+AK$12*$AP26</f>
        <v>12344.520945653099</v>
      </c>
      <c r="AU26" s="118">
        <f t="shared" ref="AU26:AU46" si="33">AU$6+AM$13*$AP26</f>
        <v>48648.561822653093</v>
      </c>
      <c r="AV26" s="118"/>
      <c r="AW26" s="42">
        <f t="shared" ref="AW26:AW46" si="34">AP26</f>
        <v>150000</v>
      </c>
      <c r="AX26" s="118">
        <f t="shared" si="21"/>
        <v>0.27190113511944214</v>
      </c>
      <c r="AY26" s="118">
        <f t="shared" si="22"/>
        <v>0.17339528208435401</v>
      </c>
      <c r="AZ26" s="118">
        <f t="shared" si="23"/>
        <v>6.5753294384353997E-2</v>
      </c>
      <c r="BA26" s="118">
        <f t="shared" si="24"/>
        <v>8.2296806304354E-2</v>
      </c>
      <c r="BB26" s="118">
        <f t="shared" si="25"/>
        <v>0.32432374548435394</v>
      </c>
    </row>
    <row r="27" spans="1:54">
      <c r="A27" s="7" t="s">
        <v>88</v>
      </c>
      <c r="B27" s="3">
        <v>0.84</v>
      </c>
      <c r="C27" s="35">
        <f t="shared" si="17"/>
        <v>5.5999999999999997E-6</v>
      </c>
      <c r="D27" s="35" t="s">
        <v>1</v>
      </c>
      <c r="E27" s="106">
        <f>Processes!H22</f>
        <v>3.2791276421599997</v>
      </c>
      <c r="F27" s="35">
        <f t="shared" si="6"/>
        <v>1.8363114796095996E-5</v>
      </c>
      <c r="G27" s="13">
        <f>F27/F$47</f>
        <v>4.6128966205891634E-6</v>
      </c>
      <c r="H27" s="29">
        <f>Processes!G22</f>
        <v>9.2734680999999999E-2</v>
      </c>
      <c r="I27" s="35">
        <f t="shared" si="8"/>
        <v>5.1931421359999996E-7</v>
      </c>
      <c r="J27" s="13">
        <f>I27/I$47</f>
        <v>1.9565530185540096E-6</v>
      </c>
      <c r="K27" s="111">
        <f>I27/F27*$B$2</f>
        <v>28.280290101459602</v>
      </c>
      <c r="L27" s="29">
        <f>Processes!J22</f>
        <v>0.10553827</v>
      </c>
      <c r="M27" s="35">
        <f t="shared" si="18"/>
        <v>5.9101431199999997E-7</v>
      </c>
      <c r="N27" s="13">
        <f>M27/M$47</f>
        <v>2.1647712367238192E-6</v>
      </c>
      <c r="AP27" s="42">
        <v>160000</v>
      </c>
      <c r="AQ27" s="118">
        <f t="shared" si="20"/>
        <v>43106.181219821083</v>
      </c>
      <c r="AR27" s="118">
        <f t="shared" si="30"/>
        <v>27123.364258653099</v>
      </c>
      <c r="AS27" s="118">
        <f t="shared" si="31"/>
        <v>9900.6462266530998</v>
      </c>
      <c r="AT27" s="118">
        <f t="shared" si="32"/>
        <v>12547.6081338531</v>
      </c>
      <c r="AU27" s="118">
        <f t="shared" si="33"/>
        <v>51271.918402653093</v>
      </c>
      <c r="AV27" s="118"/>
      <c r="AW27" s="42">
        <f t="shared" si="34"/>
        <v>160000</v>
      </c>
      <c r="AX27" s="118">
        <f t="shared" si="21"/>
        <v>0.26941363262388179</v>
      </c>
      <c r="AY27" s="118">
        <f t="shared" si="22"/>
        <v>0.16952102661658186</v>
      </c>
      <c r="AZ27" s="118">
        <f t="shared" si="23"/>
        <v>6.1879038916581877E-2</v>
      </c>
      <c r="BA27" s="118">
        <f t="shared" si="24"/>
        <v>7.8422550836581881E-2</v>
      </c>
      <c r="BB27" s="118">
        <f t="shared" si="25"/>
        <v>0.32044949001658185</v>
      </c>
    </row>
    <row r="28" spans="1:54">
      <c r="A28" s="7" t="s">
        <v>90</v>
      </c>
      <c r="B28" s="3">
        <v>46.3</v>
      </c>
      <c r="C28" s="35">
        <f t="shared" si="17"/>
        <v>3.0866666666666667E-4</v>
      </c>
      <c r="D28" s="35" t="s">
        <v>1</v>
      </c>
      <c r="E28" s="106">
        <f>Processes!H23</f>
        <v>83.60239744319999</v>
      </c>
      <c r="F28" s="35">
        <f t="shared" si="6"/>
        <v>2.5805273344134398E-2</v>
      </c>
      <c r="G28" s="13">
        <f>F28/F$47</f>
        <v>6.4824001551111853E-3</v>
      </c>
      <c r="H28" s="29">
        <f>Processes!G23</f>
        <v>2.4385405000000002</v>
      </c>
      <c r="I28" s="35">
        <f t="shared" si="8"/>
        <v>7.5269616766666676E-4</v>
      </c>
      <c r="J28" s="13">
        <f>I28/I$47</f>
        <v>2.8358360320878614E-3</v>
      </c>
      <c r="K28" s="111">
        <f>I28/F28*$B$2</f>
        <v>29.168308261216556</v>
      </c>
      <c r="L28" s="29">
        <f>Processes!J23</f>
        <v>2.7275390000000002</v>
      </c>
      <c r="M28" s="35">
        <f t="shared" si="18"/>
        <v>8.4190037133333336E-4</v>
      </c>
      <c r="N28" s="13">
        <f>M28/M$47</f>
        <v>3.0837183991062182E-3</v>
      </c>
      <c r="AP28" s="42">
        <v>170000</v>
      </c>
      <c r="AQ28" s="118">
        <f t="shared" si="20"/>
        <v>45427.192171725845</v>
      </c>
      <c r="AR28" s="118">
        <f t="shared" si="30"/>
        <v>28237.436204653102</v>
      </c>
      <c r="AS28" s="118">
        <f t="shared" si="31"/>
        <v>9938.2982956530996</v>
      </c>
      <c r="AT28" s="118">
        <f t="shared" si="32"/>
        <v>12750.6953220531</v>
      </c>
      <c r="AU28" s="118">
        <f t="shared" si="33"/>
        <v>53895.274982653093</v>
      </c>
      <c r="AV28" s="118"/>
      <c r="AW28" s="42">
        <f t="shared" si="34"/>
        <v>170000</v>
      </c>
      <c r="AX28" s="118">
        <f t="shared" si="21"/>
        <v>0.26721877748074024</v>
      </c>
      <c r="AY28" s="118">
        <f t="shared" si="22"/>
        <v>0.16610256590972414</v>
      </c>
      <c r="AZ28" s="118">
        <f t="shared" si="23"/>
        <v>5.8460578209724112E-2</v>
      </c>
      <c r="BA28" s="118">
        <f t="shared" si="24"/>
        <v>7.5004090129724116E-2</v>
      </c>
      <c r="BB28" s="118">
        <f t="shared" si="25"/>
        <v>0.3170310293097241</v>
      </c>
    </row>
    <row r="29" spans="1:54">
      <c r="A29" s="7" t="s">
        <v>92</v>
      </c>
      <c r="B29" s="3">
        <v>3381</v>
      </c>
      <c r="C29" s="35">
        <f t="shared" si="17"/>
        <v>2.2540000000000001E-2</v>
      </c>
      <c r="D29" s="35" t="s">
        <v>1</v>
      </c>
      <c r="E29" s="106">
        <f>Processes!H24</f>
        <v>5.24675681922E-3</v>
      </c>
      <c r="F29" s="35">
        <f t="shared" si="6"/>
        <v>1.182618987052188E-4</v>
      </c>
      <c r="G29" s="13">
        <f>F29/F$47</f>
        <v>2.9707918233879451E-5</v>
      </c>
      <c r="H29" s="29">
        <f>Processes!G24</f>
        <v>3.0655740999999999E-4</v>
      </c>
      <c r="I29" s="35">
        <f t="shared" si="8"/>
        <v>6.9098040213999998E-6</v>
      </c>
      <c r="J29" s="13">
        <f>I29/I$47</f>
        <v>2.6033175217692148E-5</v>
      </c>
      <c r="K29" s="111">
        <f>I29/F29*$B$2</f>
        <v>58.427981429788048</v>
      </c>
      <c r="L29" s="29">
        <f>Processes!J24</f>
        <v>3.3307439E-4</v>
      </c>
      <c r="M29" s="35">
        <f t="shared" si="18"/>
        <v>7.5074967506E-6</v>
      </c>
      <c r="N29" s="13">
        <f>M29/M$47</f>
        <v>2.7498510096141999E-5</v>
      </c>
      <c r="AP29" s="42">
        <v>180000</v>
      </c>
      <c r="AQ29" s="118">
        <f t="shared" si="20"/>
        <v>47748.203123630607</v>
      </c>
      <c r="AR29" s="118">
        <f t="shared" si="30"/>
        <v>29351.508150653099</v>
      </c>
      <c r="AS29" s="118">
        <f t="shared" si="31"/>
        <v>9975.9503646530993</v>
      </c>
      <c r="AT29" s="118">
        <f t="shared" si="32"/>
        <v>12953.782510253099</v>
      </c>
      <c r="AU29" s="118">
        <f t="shared" si="33"/>
        <v>56518.631562653092</v>
      </c>
      <c r="AV29" s="118"/>
      <c r="AW29" s="42">
        <f t="shared" si="34"/>
        <v>180000</v>
      </c>
      <c r="AX29" s="118">
        <f t="shared" si="21"/>
        <v>0.26526779513128113</v>
      </c>
      <c r="AY29" s="118">
        <f t="shared" si="22"/>
        <v>0.16306393417029499</v>
      </c>
      <c r="AZ29" s="118">
        <f t="shared" si="23"/>
        <v>5.5421946470294997E-2</v>
      </c>
      <c r="BA29" s="118">
        <f t="shared" si="24"/>
        <v>7.1965458390294987E-2</v>
      </c>
      <c r="BB29" s="118">
        <f t="shared" si="25"/>
        <v>0.31399239757029496</v>
      </c>
    </row>
    <row r="30" spans="1:54">
      <c r="A30" s="7" t="s">
        <v>99</v>
      </c>
      <c r="B30" s="3">
        <v>6.2</v>
      </c>
      <c r="C30" s="35">
        <f t="shared" si="17"/>
        <v>4.1333333333333333E-5</v>
      </c>
      <c r="D30" s="35" t="s">
        <v>1</v>
      </c>
      <c r="E30" s="106">
        <f>Processes!H25</f>
        <v>42.345437278200002</v>
      </c>
      <c r="F30" s="35">
        <f t="shared" si="6"/>
        <v>1.7502780741656002E-3</v>
      </c>
      <c r="G30" s="13">
        <f>F30/F$47</f>
        <v>4.3967768557033198E-4</v>
      </c>
      <c r="H30" s="29">
        <f>Processes!G25</f>
        <v>2.5227368999999999</v>
      </c>
      <c r="I30" s="35">
        <f t="shared" si="8"/>
        <v>1.0427312519999999E-4</v>
      </c>
      <c r="J30" s="13">
        <f>I30/I$47</f>
        <v>3.9285637196378136E-4</v>
      </c>
      <c r="K30" s="111">
        <f>I30/F30*$B$2</f>
        <v>59.575176504287477</v>
      </c>
      <c r="L30" s="29">
        <f>Processes!J25</f>
        <v>2.7140713999999999</v>
      </c>
      <c r="M30" s="35">
        <f t="shared" si="18"/>
        <v>1.1218161786666666E-4</v>
      </c>
      <c r="N30" s="13">
        <f>M30/M$47</f>
        <v>4.1089959196606205E-4</v>
      </c>
      <c r="AP30" s="42">
        <v>190000</v>
      </c>
      <c r="AQ30" s="118">
        <f t="shared" si="20"/>
        <v>50069.214075535361</v>
      </c>
      <c r="AR30" s="118">
        <f t="shared" si="30"/>
        <v>30465.580096653102</v>
      </c>
      <c r="AS30" s="118">
        <f t="shared" si="31"/>
        <v>10013.602433653101</v>
      </c>
      <c r="AT30" s="118">
        <f t="shared" si="32"/>
        <v>13156.8696984531</v>
      </c>
      <c r="AU30" s="118">
        <f t="shared" si="33"/>
        <v>59141.988142653092</v>
      </c>
      <c r="AV30" s="118"/>
      <c r="AW30" s="42">
        <f t="shared" si="34"/>
        <v>190000</v>
      </c>
      <c r="AX30" s="118">
        <f t="shared" si="21"/>
        <v>0.26352217934492295</v>
      </c>
      <c r="AY30" s="118">
        <f t="shared" si="22"/>
        <v>0.16034515840343738</v>
      </c>
      <c r="AZ30" s="118">
        <f t="shared" si="23"/>
        <v>5.2703170703437371E-2</v>
      </c>
      <c r="BA30" s="118">
        <f t="shared" si="24"/>
        <v>6.9246682623437361E-2</v>
      </c>
      <c r="BB30" s="118">
        <f t="shared" si="25"/>
        <v>0.31127362180343732</v>
      </c>
    </row>
    <row r="31" spans="1:54">
      <c r="A31" s="7" t="s">
        <v>105</v>
      </c>
      <c r="B31" s="251">
        <v>2247</v>
      </c>
      <c r="C31" s="35">
        <f t="shared" si="17"/>
        <v>1.498E-2</v>
      </c>
      <c r="D31" s="35" t="s">
        <v>2</v>
      </c>
      <c r="E31" s="106">
        <f>Processes!H46</f>
        <v>9.0683380483600011</v>
      </c>
      <c r="F31" s="35">
        <f t="shared" si="6"/>
        <v>0.13584370396443282</v>
      </c>
      <c r="G31" s="13">
        <f>F31/F$47</f>
        <v>3.412454640206624E-2</v>
      </c>
      <c r="H31" s="108">
        <f>Processes!G46</f>
        <v>0.40013556</v>
      </c>
      <c r="I31" s="35">
        <f t="shared" si="8"/>
        <v>5.9940306887999997E-3</v>
      </c>
      <c r="J31" s="13">
        <f>I31/I$47</f>
        <v>2.2582934436125763E-2</v>
      </c>
      <c r="K31" s="111">
        <f>I31/F31*$B$2</f>
        <v>44.124464468146293</v>
      </c>
      <c r="L31" s="108">
        <f>Processes!J46</f>
        <v>0.42848921000000001</v>
      </c>
      <c r="M31" s="35">
        <f t="shared" si="18"/>
        <v>6.4187683658000006E-3</v>
      </c>
      <c r="N31" s="13">
        <f>M31/M$47</f>
        <v>2.3510708372619912E-2</v>
      </c>
      <c r="AP31" s="42">
        <v>200000</v>
      </c>
      <c r="AQ31" s="118">
        <f t="shared" si="20"/>
        <v>52390.225027440123</v>
      </c>
      <c r="AR31" s="118">
        <f t="shared" si="30"/>
        <v>31579.652042653099</v>
      </c>
      <c r="AS31" s="118">
        <f t="shared" si="31"/>
        <v>10051.254502653101</v>
      </c>
      <c r="AT31" s="118">
        <f t="shared" si="32"/>
        <v>13359.956886653101</v>
      </c>
      <c r="AU31" s="118">
        <f t="shared" si="33"/>
        <v>61765.344722653092</v>
      </c>
      <c r="AV31" s="118"/>
      <c r="AW31" s="42">
        <f t="shared" si="34"/>
        <v>200000</v>
      </c>
      <c r="AX31" s="118">
        <f t="shared" si="21"/>
        <v>0.26195112513720059</v>
      </c>
      <c r="AY31" s="118">
        <f t="shared" si="22"/>
        <v>0.1578982602132655</v>
      </c>
      <c r="AZ31" s="118">
        <f t="shared" si="23"/>
        <v>5.0256272513265504E-2</v>
      </c>
      <c r="BA31" s="118">
        <f t="shared" si="24"/>
        <v>6.6799784433265508E-2</v>
      </c>
      <c r="BB31" s="118">
        <f t="shared" si="25"/>
        <v>0.30882672361326546</v>
      </c>
    </row>
    <row r="32" spans="1:54">
      <c r="A32" s="6" t="s">
        <v>9</v>
      </c>
      <c r="B32" s="235" t="s">
        <v>266</v>
      </c>
      <c r="C32" s="225" t="s">
        <v>269</v>
      </c>
      <c r="D32" s="10"/>
      <c r="E32" s="5"/>
      <c r="F32" s="38"/>
      <c r="G32" s="14"/>
      <c r="H32" s="5"/>
      <c r="I32" s="38"/>
      <c r="J32" s="14"/>
      <c r="K32" s="213"/>
      <c r="L32" s="5"/>
      <c r="M32" s="140"/>
      <c r="N32" s="216"/>
      <c r="AP32" s="42">
        <v>210000</v>
      </c>
      <c r="AQ32" s="118">
        <f t="shared" si="20"/>
        <v>54711.235979344885</v>
      </c>
      <c r="AR32" s="118">
        <f t="shared" si="30"/>
        <v>32693.723988653102</v>
      </c>
      <c r="AS32" s="118">
        <f t="shared" si="31"/>
        <v>10088.9065716531</v>
      </c>
      <c r="AT32" s="118">
        <f t="shared" si="32"/>
        <v>13563.0440748531</v>
      </c>
      <c r="AU32" s="118">
        <f t="shared" si="33"/>
        <v>64388.701302653091</v>
      </c>
      <c r="AV32" s="118"/>
      <c r="AW32" s="42">
        <f t="shared" si="34"/>
        <v>210000</v>
      </c>
      <c r="AX32" s="118">
        <f t="shared" si="21"/>
        <v>0.26052969513973756</v>
      </c>
      <c r="AY32" s="118">
        <f t="shared" si="22"/>
        <v>0.15568439994596717</v>
      </c>
      <c r="AZ32" s="118">
        <f t="shared" si="23"/>
        <v>4.8042412245967142E-2</v>
      </c>
      <c r="BA32" s="118">
        <f t="shared" si="24"/>
        <v>6.4585924165967146E-2</v>
      </c>
      <c r="BB32" s="118">
        <f t="shared" si="25"/>
        <v>0.3066128633459671</v>
      </c>
    </row>
    <row r="33" spans="1:54">
      <c r="A33" s="7" t="s">
        <v>94</v>
      </c>
      <c r="B33" s="29">
        <v>556.5</v>
      </c>
      <c r="C33" s="35">
        <f t="shared" si="17"/>
        <v>3.7100000000000002E-3</v>
      </c>
      <c r="D33" s="9" t="s">
        <v>14</v>
      </c>
      <c r="E33" s="29">
        <f>Processes!H32</f>
        <v>0.70222190420999997</v>
      </c>
      <c r="F33" s="113">
        <f t="shared" si="6"/>
        <v>2.6052432646191002E-3</v>
      </c>
      <c r="G33" s="107">
        <f>F33/F$47</f>
        <v>6.5444876779450828E-4</v>
      </c>
      <c r="H33" s="109">
        <f>Processes!G32</f>
        <v>4.1812312999999997E-2</v>
      </c>
      <c r="I33" s="103">
        <f t="shared" si="8"/>
        <v>1.5512368122999999E-4</v>
      </c>
      <c r="J33" s="13">
        <f>I33/I$47</f>
        <v>5.8443943726435783E-4</v>
      </c>
      <c r="K33" s="110">
        <f>I33/F33*$B$2</f>
        <v>59.542877756054722</v>
      </c>
      <c r="L33" s="109">
        <f>Processes!J32</f>
        <v>4.4801749000000002E-2</v>
      </c>
      <c r="M33" s="35">
        <f>L33*$C33</f>
        <v>1.6621448879000002E-4</v>
      </c>
      <c r="N33" s="13">
        <f>M33/M$47</f>
        <v>6.088115586265967E-4</v>
      </c>
      <c r="AP33" s="42">
        <v>220000</v>
      </c>
      <c r="AQ33" s="118">
        <f t="shared" si="20"/>
        <v>57032.246931249647</v>
      </c>
      <c r="AR33" s="118">
        <f t="shared" si="30"/>
        <v>33807.795934653099</v>
      </c>
      <c r="AS33" s="118">
        <f t="shared" si="31"/>
        <v>10126.5586406531</v>
      </c>
      <c r="AT33" s="118">
        <f t="shared" si="32"/>
        <v>13766.131263053099</v>
      </c>
      <c r="AU33" s="118">
        <f t="shared" si="33"/>
        <v>67012.057882653098</v>
      </c>
      <c r="AV33" s="118"/>
      <c r="AW33" s="42">
        <f t="shared" si="34"/>
        <v>220000</v>
      </c>
      <c r="AX33" s="118">
        <f t="shared" si="21"/>
        <v>0.25923748605113478</v>
      </c>
      <c r="AY33" s="118">
        <f t="shared" si="22"/>
        <v>0.15367179970296863</v>
      </c>
      <c r="AZ33" s="118">
        <f t="shared" si="23"/>
        <v>4.6029812002968636E-2</v>
      </c>
      <c r="BA33" s="118">
        <f t="shared" si="24"/>
        <v>6.2573323922968632E-2</v>
      </c>
      <c r="BB33" s="118">
        <f t="shared" si="25"/>
        <v>0.30460026310296862</v>
      </c>
    </row>
    <row r="34" spans="1:54">
      <c r="A34" s="7" t="s">
        <v>141</v>
      </c>
      <c r="B34" s="29">
        <v>59.1</v>
      </c>
      <c r="C34" s="35">
        <f t="shared" si="17"/>
        <v>3.9400000000000004E-4</v>
      </c>
      <c r="D34" s="9" t="s">
        <v>14</v>
      </c>
      <c r="E34" s="29">
        <f>Processes!H33</f>
        <v>2.71316117779</v>
      </c>
      <c r="F34" s="113">
        <f t="shared" si="6"/>
        <v>1.0689855040492602E-3</v>
      </c>
      <c r="G34" s="107">
        <f>F34/F$47</f>
        <v>2.6853394284372676E-4</v>
      </c>
      <c r="H34" s="109">
        <f>Processes!G33</f>
        <v>0.16557683000000001</v>
      </c>
      <c r="I34" s="103">
        <f t="shared" si="8"/>
        <v>6.5237271020000007E-5</v>
      </c>
      <c r="J34" s="13">
        <f>I34/I$47</f>
        <v>2.4578603125760285E-4</v>
      </c>
      <c r="K34" s="110">
        <f>I34/F34*$B$2</f>
        <v>61.027273777693615</v>
      </c>
      <c r="L34" s="109">
        <f>Processes!J33</f>
        <v>0.17185733</v>
      </c>
      <c r="M34" s="35">
        <f>L34*$C34</f>
        <v>6.7711788020000005E-5</v>
      </c>
      <c r="N34" s="13">
        <f>M34/M$47</f>
        <v>2.4801519712239472E-4</v>
      </c>
      <c r="AP34" s="42">
        <v>230000</v>
      </c>
      <c r="AQ34" s="118">
        <f t="shared" si="20"/>
        <v>59353.257883154409</v>
      </c>
      <c r="AR34" s="118">
        <f t="shared" si="30"/>
        <v>34921.867880653102</v>
      </c>
      <c r="AS34" s="118">
        <f t="shared" si="31"/>
        <v>10164.2107096531</v>
      </c>
      <c r="AT34" s="118">
        <f t="shared" si="32"/>
        <v>13969.218451253098</v>
      </c>
      <c r="AU34" s="118">
        <f t="shared" si="33"/>
        <v>69635.414462653091</v>
      </c>
      <c r="AV34" s="118"/>
      <c r="AW34" s="42">
        <f t="shared" si="34"/>
        <v>230000</v>
      </c>
      <c r="AX34" s="118">
        <f t="shared" si="21"/>
        <v>0.25805764297023653</v>
      </c>
      <c r="AY34" s="118">
        <f t="shared" si="22"/>
        <v>0.15183420817675261</v>
      </c>
      <c r="AZ34" s="118">
        <f t="shared" si="23"/>
        <v>4.4192220476752607E-2</v>
      </c>
      <c r="BA34" s="118">
        <f t="shared" si="24"/>
        <v>6.0735732396752604E-2</v>
      </c>
      <c r="BB34" s="118">
        <f t="shared" si="25"/>
        <v>0.30276267157675257</v>
      </c>
    </row>
    <row r="35" spans="1:54">
      <c r="A35" s="7" t="s">
        <v>97</v>
      </c>
      <c r="B35" s="29">
        <v>10400</v>
      </c>
      <c r="C35" s="35">
        <f t="shared" si="17"/>
        <v>6.933333333333333E-2</v>
      </c>
      <c r="D35" s="9" t="s">
        <v>14</v>
      </c>
      <c r="E35" s="29">
        <f>Processes!H34</f>
        <v>0.12785665997949999</v>
      </c>
      <c r="F35" s="113">
        <f t="shared" si="6"/>
        <v>8.8647284252453325E-3</v>
      </c>
      <c r="G35" s="107">
        <f>F35/F$47</f>
        <v>2.2268594543638403E-3</v>
      </c>
      <c r="H35" s="109">
        <f>Processes!G34</f>
        <v>9.0969941999999998E-3</v>
      </c>
      <c r="I35" s="103">
        <f t="shared" si="8"/>
        <v>6.3072493119999996E-4</v>
      </c>
      <c r="J35" s="13">
        <f>I35/I$47</f>
        <v>2.3763007745579452E-3</v>
      </c>
      <c r="K35" s="110">
        <f>I35/F35*$B$2</f>
        <v>71.149944019017653</v>
      </c>
      <c r="L35" s="109">
        <f>Processes!J34</f>
        <v>9.4049823999999994E-3</v>
      </c>
      <c r="M35" s="35">
        <f>L35*$C35</f>
        <v>6.5207877973333329E-4</v>
      </c>
      <c r="N35" s="13">
        <f>M35/M$47</f>
        <v>2.3884385839453019E-3</v>
      </c>
      <c r="AP35" s="42">
        <v>240000</v>
      </c>
      <c r="AQ35" s="118">
        <f t="shared" si="20"/>
        <v>61674.268835059171</v>
      </c>
      <c r="AR35" s="118">
        <f t="shared" si="30"/>
        <v>36035.939826653099</v>
      </c>
      <c r="AS35" s="118">
        <f t="shared" si="31"/>
        <v>10201.8627786531</v>
      </c>
      <c r="AT35" s="118">
        <f t="shared" si="32"/>
        <v>14172.3056394531</v>
      </c>
      <c r="AU35" s="118">
        <f t="shared" si="33"/>
        <v>72258.771042653098</v>
      </c>
      <c r="AV35" s="118"/>
      <c r="AW35" s="42">
        <f t="shared" si="34"/>
        <v>240000</v>
      </c>
      <c r="AX35" s="118">
        <f t="shared" si="21"/>
        <v>0.2569761201460799</v>
      </c>
      <c r="AY35" s="118">
        <f t="shared" si="22"/>
        <v>0.15014974927772123</v>
      </c>
      <c r="AZ35" s="118">
        <f t="shared" si="23"/>
        <v>4.2507761577721251E-2</v>
      </c>
      <c r="BA35" s="118">
        <f t="shared" si="24"/>
        <v>5.9051273497721248E-2</v>
      </c>
      <c r="BB35" s="118">
        <f t="shared" si="25"/>
        <v>0.30107821267772122</v>
      </c>
    </row>
    <row r="36" spans="1:54">
      <c r="A36" s="6" t="s">
        <v>4</v>
      </c>
      <c r="B36" s="235" t="s">
        <v>268</v>
      </c>
      <c r="C36" s="225" t="s">
        <v>269</v>
      </c>
      <c r="D36" s="10"/>
      <c r="E36" s="5"/>
      <c r="F36" s="38"/>
      <c r="G36" s="14"/>
      <c r="H36" s="105"/>
      <c r="I36" s="38"/>
      <c r="J36" s="14"/>
      <c r="K36" s="26"/>
      <c r="L36" s="105"/>
      <c r="M36" s="140"/>
      <c r="N36" s="216"/>
      <c r="W36" s="36"/>
      <c r="X36" s="36"/>
      <c r="Y36" s="36"/>
      <c r="AP36" s="42">
        <v>250000</v>
      </c>
      <c r="AQ36" s="118">
        <f t="shared" si="20"/>
        <v>63995.279786963933</v>
      </c>
      <c r="AR36" s="118">
        <f t="shared" si="30"/>
        <v>37150.011772653103</v>
      </c>
      <c r="AS36" s="118">
        <f t="shared" si="31"/>
        <v>10239.514847653099</v>
      </c>
      <c r="AT36" s="118">
        <f t="shared" si="32"/>
        <v>14375.392827653101</v>
      </c>
      <c r="AU36" s="118">
        <f t="shared" si="33"/>
        <v>74882.127622653104</v>
      </c>
      <c r="AV36" s="118"/>
      <c r="AW36" s="42">
        <f t="shared" si="34"/>
        <v>250000</v>
      </c>
      <c r="AX36" s="118">
        <f t="shared" si="21"/>
        <v>0.25598111914785571</v>
      </c>
      <c r="AY36" s="118">
        <f t="shared" si="22"/>
        <v>0.14860004709061242</v>
      </c>
      <c r="AZ36" s="118">
        <f t="shared" si="23"/>
        <v>4.0958059390612395E-2</v>
      </c>
      <c r="BA36" s="118">
        <f t="shared" si="24"/>
        <v>5.7501571310612405E-2</v>
      </c>
      <c r="BB36" s="118">
        <f t="shared" si="25"/>
        <v>0.29952851049061241</v>
      </c>
    </row>
    <row r="37" spans="1:54">
      <c r="A37" s="7" t="s">
        <v>178</v>
      </c>
      <c r="B37" s="239">
        <v>6.19047619047619E-2</v>
      </c>
      <c r="C37" s="241">
        <f>B37</f>
        <v>6.19047619047619E-2</v>
      </c>
      <c r="D37" s="9" t="s">
        <v>1</v>
      </c>
      <c r="E37" s="29">
        <f>Processes!H45</f>
        <v>54.400731220600001</v>
      </c>
      <c r="F37" s="113">
        <f>E37*$C37</f>
        <v>3.3676643136561903</v>
      </c>
      <c r="G37" s="13">
        <f>F37/F$47</f>
        <v>0.84597234751514183</v>
      </c>
      <c r="H37" s="29">
        <f>Processes!G45</f>
        <v>0.58292348000000005</v>
      </c>
      <c r="I37" s="9">
        <f t="shared" si="8"/>
        <v>3.6085739238095237E-2</v>
      </c>
      <c r="J37" s="13">
        <f>I37/I$47</f>
        <v>0.13595557407067302</v>
      </c>
      <c r="K37" s="111">
        <f>I37/F37*$B$2</f>
        <v>10.715361115941462</v>
      </c>
      <c r="L37" s="29">
        <f>Processes!J45</f>
        <v>0.63547922999999995</v>
      </c>
      <c r="M37" s="35">
        <f>L37*$C37</f>
        <v>3.9339190428571424E-2</v>
      </c>
      <c r="N37" s="13">
        <f>M37/M$47</f>
        <v>0.14409185393089499</v>
      </c>
      <c r="AP37" s="42">
        <v>260000</v>
      </c>
      <c r="AQ37" s="118">
        <f t="shared" si="20"/>
        <v>66316.290738868687</v>
      </c>
      <c r="AR37" s="118">
        <f t="shared" si="30"/>
        <v>38264.083718653099</v>
      </c>
      <c r="AS37" s="118">
        <f t="shared" si="31"/>
        <v>10277.166916653099</v>
      </c>
      <c r="AT37" s="118">
        <f t="shared" si="32"/>
        <v>14578.4800158531</v>
      </c>
      <c r="AU37" s="118">
        <f t="shared" si="33"/>
        <v>77505.484202653097</v>
      </c>
      <c r="AV37" s="118"/>
      <c r="AW37" s="42">
        <f t="shared" si="34"/>
        <v>260000</v>
      </c>
      <c r="AX37" s="118">
        <f t="shared" si="21"/>
        <v>0.25506265668795647</v>
      </c>
      <c r="AY37" s="118">
        <f t="shared" si="22"/>
        <v>0.14716955276405039</v>
      </c>
      <c r="AZ37" s="118">
        <f t="shared" si="23"/>
        <v>3.9527565064050384E-2</v>
      </c>
      <c r="BA37" s="118">
        <f t="shared" si="24"/>
        <v>5.607107698405038E-2</v>
      </c>
      <c r="BB37" s="118">
        <f t="shared" si="25"/>
        <v>0.29809801616405035</v>
      </c>
    </row>
    <row r="38" spans="1:54">
      <c r="A38" s="7" t="s">
        <v>183</v>
      </c>
      <c r="B38" s="239">
        <v>6.19047619047619E-2</v>
      </c>
      <c r="C38" s="241">
        <f>B38</f>
        <v>6.19047619047619E-2</v>
      </c>
      <c r="D38" s="9" t="s">
        <v>1</v>
      </c>
      <c r="E38" s="29">
        <v>0</v>
      </c>
      <c r="F38" s="113">
        <f>E38*$C38</f>
        <v>0</v>
      </c>
      <c r="G38" s="13">
        <f>F38/F$47</f>
        <v>0</v>
      </c>
      <c r="H38" s="109">
        <f>0.2024/0.065</f>
        <v>3.1138461538461537</v>
      </c>
      <c r="I38" s="9">
        <f t="shared" si="8"/>
        <v>0.19276190476190475</v>
      </c>
      <c r="J38" s="13">
        <f>I38/I$47</f>
        <v>0.72624410568246633</v>
      </c>
      <c r="K38" s="217">
        <f>I38/F37*$B$2</f>
        <v>57.239049622682813</v>
      </c>
      <c r="L38" s="218">
        <f>0.2024/0.065</f>
        <v>3.1138461538461537</v>
      </c>
      <c r="M38" s="219">
        <f>L38*$C38</f>
        <v>0.19276190476190475</v>
      </c>
      <c r="N38" s="220">
        <f>M38/M$47</f>
        <v>0.70604961418373846</v>
      </c>
      <c r="AP38" s="42">
        <v>270000</v>
      </c>
      <c r="AQ38" s="118">
        <f t="shared" si="20"/>
        <v>68637.301690773456</v>
      </c>
      <c r="AR38" s="118">
        <f t="shared" si="30"/>
        <v>39378.155664653103</v>
      </c>
      <c r="AS38" s="118">
        <f t="shared" si="31"/>
        <v>10314.818985653101</v>
      </c>
      <c r="AT38" s="118">
        <f t="shared" si="32"/>
        <v>14781.567204053099</v>
      </c>
      <c r="AU38" s="118">
        <f t="shared" si="33"/>
        <v>80128.840782653104</v>
      </c>
      <c r="AV38" s="118"/>
      <c r="AW38" s="42">
        <f t="shared" si="34"/>
        <v>270000</v>
      </c>
      <c r="AX38" s="118">
        <f t="shared" si="21"/>
        <v>0.25421222848434616</v>
      </c>
      <c r="AY38" s="118">
        <f t="shared" si="22"/>
        <v>0.14584502098019667</v>
      </c>
      <c r="AZ38" s="118">
        <f t="shared" si="23"/>
        <v>3.8203033280196669E-2</v>
      </c>
      <c r="BA38" s="118">
        <f t="shared" si="24"/>
        <v>5.4746545200196665E-2</v>
      </c>
      <c r="BB38" s="118">
        <f t="shared" si="25"/>
        <v>0.29677348438019668</v>
      </c>
    </row>
    <row r="39" spans="1:54">
      <c r="A39" s="6" t="s">
        <v>5</v>
      </c>
      <c r="B39" s="235" t="s">
        <v>267</v>
      </c>
      <c r="C39" s="225" t="s">
        <v>269</v>
      </c>
      <c r="D39" s="10"/>
      <c r="E39" s="5"/>
      <c r="F39" s="38"/>
      <c r="G39" s="14"/>
      <c r="H39" s="5"/>
      <c r="I39" s="38"/>
      <c r="J39" s="14"/>
      <c r="K39" s="213"/>
      <c r="L39" s="5"/>
      <c r="M39" s="140"/>
      <c r="N39" s="216"/>
      <c r="W39" s="41"/>
      <c r="X39" s="41"/>
      <c r="Y39" s="41"/>
      <c r="AP39" s="42">
        <v>280000</v>
      </c>
      <c r="AQ39" s="118">
        <f t="shared" si="20"/>
        <v>70958.312642678211</v>
      </c>
      <c r="AR39" s="118">
        <f t="shared" si="30"/>
        <v>40492.227610653106</v>
      </c>
      <c r="AS39" s="118">
        <f t="shared" si="31"/>
        <v>10352.471054653101</v>
      </c>
      <c r="AT39" s="118">
        <f t="shared" si="32"/>
        <v>14984.6543922531</v>
      </c>
      <c r="AU39" s="118">
        <f t="shared" si="33"/>
        <v>82752.197362653096</v>
      </c>
      <c r="AV39" s="118"/>
      <c r="AW39" s="42">
        <f t="shared" si="34"/>
        <v>280000</v>
      </c>
      <c r="AX39" s="118">
        <f t="shared" si="21"/>
        <v>0.25342254515242219</v>
      </c>
      <c r="AY39" s="118">
        <f t="shared" si="22"/>
        <v>0.14461509860947538</v>
      </c>
      <c r="AZ39" s="118">
        <f t="shared" si="23"/>
        <v>3.697311090947536E-2</v>
      </c>
      <c r="BA39" s="118">
        <f t="shared" si="24"/>
        <v>5.3516622829475356E-2</v>
      </c>
      <c r="BB39" s="118">
        <f t="shared" si="25"/>
        <v>0.29554356200947535</v>
      </c>
    </row>
    <row r="40" spans="1:54">
      <c r="A40" s="18" t="s">
        <v>143</v>
      </c>
      <c r="B40" s="29">
        <f>B7</f>
        <v>4.4000000000000004</v>
      </c>
      <c r="C40" s="35">
        <f t="shared" ref="C40:C45" si="35">B40/$B$4</f>
        <v>2.9333333333333336E-5</v>
      </c>
      <c r="D40" s="9" t="s">
        <v>1</v>
      </c>
      <c r="E40" s="101">
        <f>Processes!H35</f>
        <v>1.8340468626799999</v>
      </c>
      <c r="F40" s="115">
        <f>E40*$C40</f>
        <v>5.3798707971946668E-5</v>
      </c>
      <c r="G40" s="102">
        <f>F40/F$47</f>
        <v>1.3514476217761087E-5</v>
      </c>
      <c r="H40" s="104">
        <f>Processes!G35</f>
        <v>1.1106366999999999</v>
      </c>
      <c r="I40" s="103">
        <f t="shared" si="8"/>
        <v>3.2578676533333334E-5</v>
      </c>
      <c r="J40" s="13">
        <f>I40/I$47</f>
        <v>1.2274246735885611E-4</v>
      </c>
      <c r="K40" s="110">
        <f>I40/F40*$B$2</f>
        <v>605.56615133436821</v>
      </c>
      <c r="L40" s="104">
        <f>Processes!J35</f>
        <v>1.1236763000000001</v>
      </c>
      <c r="M40" s="35">
        <f>L40*$C40</f>
        <v>3.2961171466666669E-5</v>
      </c>
      <c r="N40" s="13">
        <f>M40/M$47</f>
        <v>1.2073040275167122E-4</v>
      </c>
      <c r="AP40" s="42">
        <v>290000</v>
      </c>
      <c r="AQ40" s="118">
        <f t="shared" si="20"/>
        <v>73279.32359458298</v>
      </c>
      <c r="AR40" s="118">
        <f t="shared" si="30"/>
        <v>41606.299556653103</v>
      </c>
      <c r="AS40" s="118">
        <f t="shared" si="31"/>
        <v>10390.1231236531</v>
      </c>
      <c r="AT40" s="118">
        <f t="shared" si="32"/>
        <v>15187.741580453099</v>
      </c>
      <c r="AU40" s="118">
        <f t="shared" si="33"/>
        <v>85375.553942653103</v>
      </c>
      <c r="AV40" s="118"/>
      <c r="AW40" s="42">
        <f t="shared" si="34"/>
        <v>290000</v>
      </c>
      <c r="AX40" s="118">
        <f t="shared" si="21"/>
        <v>0.25268732273994132</v>
      </c>
      <c r="AY40" s="118">
        <f t="shared" si="22"/>
        <v>0.14346999847121761</v>
      </c>
      <c r="AZ40" s="118">
        <f t="shared" si="23"/>
        <v>3.582801077121759E-2</v>
      </c>
      <c r="BA40" s="118">
        <f t="shared" si="24"/>
        <v>5.2371522691217587E-2</v>
      </c>
      <c r="BB40" s="118">
        <f t="shared" si="25"/>
        <v>0.2943984618712176</v>
      </c>
    </row>
    <row r="41" spans="1:54">
      <c r="A41" s="18" t="s">
        <v>144</v>
      </c>
      <c r="B41" s="29">
        <f>B14</f>
        <v>31.6</v>
      </c>
      <c r="C41" s="35">
        <f t="shared" si="35"/>
        <v>2.1066666666666667E-4</v>
      </c>
      <c r="D41" s="9" t="s">
        <v>1</v>
      </c>
      <c r="E41" s="101">
        <f>Processes!H36</f>
        <v>0.27058355710500004</v>
      </c>
      <c r="F41" s="115">
        <f>E41*$C41</f>
        <v>5.7002936030120012E-5</v>
      </c>
      <c r="G41" s="13">
        <f>F41/F$47</f>
        <v>1.4319392646442738E-5</v>
      </c>
      <c r="H41" s="104">
        <f>Processes!G36</f>
        <v>1.1153418999999999E-2</v>
      </c>
      <c r="I41" s="103">
        <f t="shared" si="8"/>
        <v>2.3496536026666668E-6</v>
      </c>
      <c r="J41" s="13">
        <f>I41/I$47</f>
        <v>8.8524860834923446E-6</v>
      </c>
      <c r="K41" s="110">
        <f>I41/F41*$B$2</f>
        <v>41.219869822584648</v>
      </c>
      <c r="L41" s="104">
        <f>Processes!J36</f>
        <v>1.3427409E-2</v>
      </c>
      <c r="M41" s="35">
        <f>L41*$C41</f>
        <v>2.8287074959999998E-6</v>
      </c>
      <c r="N41" s="13">
        <f>M41/M$47</f>
        <v>1.0361009031615224E-5</v>
      </c>
      <c r="AP41" s="42">
        <v>300000</v>
      </c>
      <c r="AQ41" s="118">
        <f t="shared" si="20"/>
        <v>75600.334546487749</v>
      </c>
      <c r="AR41" s="118">
        <f t="shared" si="30"/>
        <v>42720.371502653099</v>
      </c>
      <c r="AS41" s="118">
        <f t="shared" si="31"/>
        <v>10427.7751926531</v>
      </c>
      <c r="AT41" s="118">
        <f t="shared" si="32"/>
        <v>15390.8287686531</v>
      </c>
      <c r="AU41" s="118">
        <f t="shared" si="33"/>
        <v>87998.910522653096</v>
      </c>
      <c r="AV41" s="118"/>
      <c r="AW41" s="42">
        <f t="shared" si="34"/>
        <v>300000</v>
      </c>
      <c r="AX41" s="118">
        <f t="shared" si="21"/>
        <v>0.25200111515495915</v>
      </c>
      <c r="AY41" s="118">
        <f t="shared" si="22"/>
        <v>0.14240123834217699</v>
      </c>
      <c r="AZ41" s="118">
        <f t="shared" si="23"/>
        <v>3.4759250642176998E-2</v>
      </c>
      <c r="BA41" s="118">
        <f t="shared" si="24"/>
        <v>5.1302762562177001E-2</v>
      </c>
      <c r="BB41" s="118">
        <f t="shared" si="25"/>
        <v>0.29332970174217698</v>
      </c>
    </row>
    <row r="42" spans="1:54">
      <c r="A42" s="18" t="s">
        <v>145</v>
      </c>
      <c r="B42" s="29">
        <v>68.3</v>
      </c>
      <c r="C42" s="35">
        <f t="shared" si="35"/>
        <v>4.5533333333333331E-4</v>
      </c>
      <c r="D42" s="9" t="s">
        <v>1</v>
      </c>
      <c r="E42" s="101">
        <f>Processes!H37</f>
        <v>0.48331973484699997</v>
      </c>
      <c r="F42" s="115">
        <f>E42*$C42</f>
        <v>2.200715859336673E-4</v>
      </c>
      <c r="G42" s="13">
        <f>F42/F$47</f>
        <v>5.5282967313199853E-5</v>
      </c>
      <c r="H42" s="104">
        <f>Processes!G37</f>
        <v>2.3345750999999999</v>
      </c>
      <c r="I42" s="103">
        <f t="shared" si="8"/>
        <v>1.0630098621999999E-3</v>
      </c>
      <c r="J42" s="13">
        <f>I42/I$47</f>
        <v>4.0049648173929586E-3</v>
      </c>
      <c r="K42" s="25">
        <f>I42/F42*$B$2</f>
        <v>4830.291278586079</v>
      </c>
      <c r="L42" s="104">
        <f>Processes!J37</f>
        <v>2.3458359</v>
      </c>
      <c r="M42" s="35">
        <f>L42*$C42</f>
        <v>1.0681372797999998E-3</v>
      </c>
      <c r="N42" s="13">
        <f>M42/M$47</f>
        <v>3.9123804842537586E-3</v>
      </c>
      <c r="AP42" s="42">
        <v>310000</v>
      </c>
      <c r="AQ42" s="118">
        <f t="shared" si="20"/>
        <v>77921.345498392504</v>
      </c>
      <c r="AR42" s="118">
        <f t="shared" si="30"/>
        <v>43834.443448653103</v>
      </c>
      <c r="AS42" s="118">
        <f t="shared" si="31"/>
        <v>10465.4272616531</v>
      </c>
      <c r="AT42" s="118">
        <f t="shared" si="32"/>
        <v>15593.915956853099</v>
      </c>
      <c r="AU42" s="118">
        <f t="shared" si="33"/>
        <v>90622.267102653102</v>
      </c>
      <c r="AV42" s="118"/>
      <c r="AW42" s="42">
        <f t="shared" si="34"/>
        <v>310000</v>
      </c>
      <c r="AX42" s="118">
        <f t="shared" si="21"/>
        <v>0.25135917902707261</v>
      </c>
      <c r="AY42" s="118">
        <f t="shared" si="22"/>
        <v>0.14140143047952614</v>
      </c>
      <c r="AZ42" s="118">
        <f t="shared" si="23"/>
        <v>3.3759442779526132E-2</v>
      </c>
      <c r="BA42" s="118">
        <f t="shared" si="24"/>
        <v>5.0302954699526128E-2</v>
      </c>
      <c r="BB42" s="118">
        <f t="shared" si="25"/>
        <v>0.29232989387952613</v>
      </c>
    </row>
    <row r="43" spans="1:54">
      <c r="A43" s="18" t="s">
        <v>146</v>
      </c>
      <c r="B43" s="29">
        <f>B30</f>
        <v>6.2</v>
      </c>
      <c r="C43" s="35">
        <f t="shared" si="35"/>
        <v>4.1333333333333333E-5</v>
      </c>
      <c r="D43" s="9" t="s">
        <v>1</v>
      </c>
      <c r="E43" s="101">
        <f>Processes!H38</f>
        <v>1.6770813573099999</v>
      </c>
      <c r="F43" s="115">
        <f>E43*$C43</f>
        <v>6.9319362768813326E-5</v>
      </c>
      <c r="G43" s="13">
        <f>F43/F$47</f>
        <v>1.7413334165162166E-5</v>
      </c>
      <c r="H43" s="104">
        <f>Processes!G38</f>
        <v>0.22211976</v>
      </c>
      <c r="I43" s="103">
        <f>H43*$C43</f>
        <v>9.1809500799999992E-6</v>
      </c>
      <c r="J43" s="13">
        <f>I43/I$47</f>
        <v>3.4589878577930911E-5</v>
      </c>
      <c r="K43" s="25">
        <f>I43/F43*$B$2</f>
        <v>132.4442365493079</v>
      </c>
      <c r="L43" s="104">
        <f>Processes!J38</f>
        <v>0.23252513</v>
      </c>
      <c r="M43" s="35">
        <f>L43*$C43</f>
        <v>9.6110387066666662E-6</v>
      </c>
      <c r="N43" s="13">
        <f>M43/M$47</f>
        <v>3.5203377862076706E-5</v>
      </c>
      <c r="AP43" s="42">
        <v>320000</v>
      </c>
      <c r="AQ43" s="118">
        <f t="shared" si="20"/>
        <v>80242.356450297273</v>
      </c>
      <c r="AR43" s="118">
        <f t="shared" si="30"/>
        <v>44948.515394653099</v>
      </c>
      <c r="AS43" s="118">
        <f t="shared" si="31"/>
        <v>10503.0793306531</v>
      </c>
      <c r="AT43" s="118">
        <f t="shared" si="32"/>
        <v>15797.003145053099</v>
      </c>
      <c r="AU43" s="118">
        <f t="shared" si="33"/>
        <v>93245.623682653095</v>
      </c>
      <c r="AV43" s="118"/>
      <c r="AW43" s="42">
        <f t="shared" si="34"/>
        <v>320000</v>
      </c>
      <c r="AX43" s="118">
        <f t="shared" si="21"/>
        <v>0.25075736390717895</v>
      </c>
      <c r="AY43" s="118">
        <f t="shared" si="22"/>
        <v>0.14046411060829092</v>
      </c>
      <c r="AZ43" s="118">
        <f t="shared" si="23"/>
        <v>3.2822122908290938E-2</v>
      </c>
      <c r="BA43" s="118">
        <f t="shared" si="24"/>
        <v>4.9365634828290934E-2</v>
      </c>
      <c r="BB43" s="118">
        <f t="shared" si="25"/>
        <v>0.29139257400829094</v>
      </c>
    </row>
    <row r="44" spans="1:54">
      <c r="A44" s="18" t="s">
        <v>270</v>
      </c>
      <c r="B44" s="29">
        <f>B8</f>
        <v>54.4</v>
      </c>
      <c r="C44" s="35">
        <f t="shared" si="35"/>
        <v>3.6266666666666668E-4</v>
      </c>
      <c r="D44" s="9" t="s">
        <v>1</v>
      </c>
      <c r="E44" s="101"/>
      <c r="F44" s="115"/>
      <c r="G44" s="13"/>
      <c r="H44" s="104"/>
      <c r="I44" s="103"/>
      <c r="J44" s="13"/>
      <c r="K44" s="25"/>
      <c r="L44" s="104"/>
      <c r="M44" s="35"/>
      <c r="N44" s="13"/>
      <c r="AP44" s="42">
        <v>330000</v>
      </c>
      <c r="AQ44" s="118">
        <f t="shared" si="20"/>
        <v>82563.367402202028</v>
      </c>
      <c r="AR44" s="118">
        <f t="shared" si="30"/>
        <v>46062.587340653103</v>
      </c>
      <c r="AS44" s="118">
        <f t="shared" si="31"/>
        <v>10540.731399653099</v>
      </c>
      <c r="AT44" s="118">
        <f t="shared" si="32"/>
        <v>16000.0903332531</v>
      </c>
      <c r="AU44" s="118">
        <f t="shared" si="33"/>
        <v>95868.980262653102</v>
      </c>
      <c r="AV44" s="118"/>
      <c r="AW44" s="42">
        <f t="shared" si="34"/>
        <v>330000</v>
      </c>
      <c r="AX44" s="118">
        <f t="shared" si="21"/>
        <v>0.25019202243091526</v>
      </c>
      <c r="AY44" s="118">
        <f t="shared" si="22"/>
        <v>0.13958359800197909</v>
      </c>
      <c r="AZ44" s="118">
        <f t="shared" si="23"/>
        <v>3.194161030197909E-2</v>
      </c>
      <c r="BA44" s="118">
        <f t="shared" si="24"/>
        <v>4.8485122221979093E-2</v>
      </c>
      <c r="BB44" s="118">
        <f t="shared" si="25"/>
        <v>0.2905120614019791</v>
      </c>
    </row>
    <row r="45" spans="1:54">
      <c r="A45" s="18" t="s">
        <v>271</v>
      </c>
      <c r="B45" s="29">
        <f>B24+B18+B9+B30+B10</f>
        <v>1070.9000000000001</v>
      </c>
      <c r="C45" s="35">
        <f t="shared" si="35"/>
        <v>7.1393333333333343E-3</v>
      </c>
      <c r="D45" s="9" t="s">
        <v>1</v>
      </c>
      <c r="E45" s="242"/>
      <c r="F45" s="115"/>
      <c r="G45" s="13"/>
      <c r="H45" s="101"/>
      <c r="I45" s="35"/>
      <c r="J45" s="13"/>
      <c r="K45" s="111"/>
      <c r="L45" s="101"/>
      <c r="M45" s="35"/>
      <c r="N45" s="13"/>
      <c r="AP45" s="42">
        <v>340000</v>
      </c>
      <c r="AQ45" s="118">
        <f t="shared" si="20"/>
        <v>84884.378354106797</v>
      </c>
      <c r="AR45" s="118">
        <f t="shared" si="30"/>
        <v>47176.659286653099</v>
      </c>
      <c r="AS45" s="118">
        <f t="shared" si="31"/>
        <v>10578.383468653101</v>
      </c>
      <c r="AT45" s="118">
        <f t="shared" si="32"/>
        <v>16203.177521453101</v>
      </c>
      <c r="AU45" s="118">
        <f t="shared" si="33"/>
        <v>98492.336842653094</v>
      </c>
      <c r="AV45" s="118"/>
      <c r="AW45" s="42">
        <f t="shared" si="34"/>
        <v>340000</v>
      </c>
      <c r="AX45" s="118">
        <f t="shared" si="21"/>
        <v>0.24965993633560823</v>
      </c>
      <c r="AY45" s="118">
        <f t="shared" si="22"/>
        <v>0.13875488025486205</v>
      </c>
      <c r="AZ45" s="118">
        <f t="shared" si="23"/>
        <v>3.1112892554862062E-2</v>
      </c>
      <c r="BA45" s="118">
        <f t="shared" si="24"/>
        <v>4.7656404474862059E-2</v>
      </c>
      <c r="BB45" s="118">
        <f t="shared" si="25"/>
        <v>0.28968334365486204</v>
      </c>
    </row>
    <row r="46" spans="1:54">
      <c r="A46" s="6" t="s">
        <v>6</v>
      </c>
      <c r="B46" s="236"/>
      <c r="C46" s="225" t="s">
        <v>269</v>
      </c>
      <c r="D46" s="10"/>
      <c r="E46" s="243"/>
      <c r="F46" s="244"/>
      <c r="G46" s="14"/>
      <c r="H46" s="5"/>
      <c r="I46" s="5"/>
      <c r="J46" s="14"/>
      <c r="K46" s="213"/>
      <c r="L46" s="140"/>
      <c r="M46" s="140"/>
      <c r="N46" s="216"/>
      <c r="AP46" s="47">
        <v>350000</v>
      </c>
      <c r="AQ46" s="148">
        <f t="shared" si="20"/>
        <v>87205.389306011552</v>
      </c>
      <c r="AR46" s="148">
        <f t="shared" si="30"/>
        <v>48290.731232653103</v>
      </c>
      <c r="AS46" s="148">
        <f t="shared" si="31"/>
        <v>10616.035537653101</v>
      </c>
      <c r="AT46" s="148">
        <f t="shared" si="32"/>
        <v>16406.2647096531</v>
      </c>
      <c r="AU46" s="148">
        <f t="shared" si="33"/>
        <v>101115.6934226531</v>
      </c>
      <c r="AV46" s="118"/>
      <c r="AW46" s="47">
        <f t="shared" si="34"/>
        <v>350000</v>
      </c>
      <c r="AX46" s="148">
        <f t="shared" si="21"/>
        <v>0.24915825516003301</v>
      </c>
      <c r="AY46" s="148">
        <f t="shared" si="22"/>
        <v>0.1379735178075803</v>
      </c>
      <c r="AZ46" s="148">
        <f t="shared" si="23"/>
        <v>3.0331530107580287E-2</v>
      </c>
      <c r="BA46" s="148">
        <f t="shared" si="24"/>
        <v>4.6875042027580284E-2</v>
      </c>
      <c r="BB46" s="148">
        <f t="shared" si="25"/>
        <v>0.28890198120758032</v>
      </c>
    </row>
    <row r="47" spans="1:54">
      <c r="A47" s="7" t="s">
        <v>6</v>
      </c>
      <c r="B47" s="29" t="s">
        <v>13</v>
      </c>
      <c r="C47" s="3"/>
      <c r="D47" s="28" t="s">
        <v>13</v>
      </c>
      <c r="E47" s="245"/>
      <c r="F47" s="114">
        <f>SUM(F7:F43)</f>
        <v>3.9808207957954718</v>
      </c>
      <c r="G47" s="13">
        <f>F47/F$47</f>
        <v>1</v>
      </c>
      <c r="H47" s="29"/>
      <c r="I47" s="123">
        <f>SUM(I7:I43)</f>
        <v>0.26542302134178763</v>
      </c>
      <c r="J47" s="13">
        <f>I47/I$47</f>
        <v>1</v>
      </c>
      <c r="K47" s="111">
        <f>I47/F47*$B$2</f>
        <v>66.675450857302195</v>
      </c>
      <c r="L47" s="124"/>
      <c r="M47" s="123">
        <f>SUM(M7:M43)</f>
        <v>0.27301467331691148</v>
      </c>
      <c r="N47" s="13">
        <f>M47/M$47</f>
        <v>1</v>
      </c>
    </row>
    <row r="48" spans="1:54">
      <c r="A48" s="7"/>
      <c r="B48" s="29"/>
      <c r="C48" s="3"/>
      <c r="D48" s="28"/>
      <c r="E48" s="245"/>
      <c r="F48" s="113"/>
      <c r="G48" s="13"/>
      <c r="H48" s="139"/>
      <c r="I48" s="138"/>
      <c r="J48" s="13"/>
      <c r="K48" s="111"/>
      <c r="L48" s="139">
        <v>8.2999999999999999E-7</v>
      </c>
      <c r="M48" s="139">
        <f>M47*'Gasoline and electric vehicles'!$L48</f>
        <v>2.2660217885303652E-7</v>
      </c>
      <c r="N48" s="13"/>
    </row>
    <row r="49" spans="1:54" ht="20.5" thickBot="1">
      <c r="A49" s="185"/>
      <c r="B49" s="237"/>
      <c r="C49" s="186"/>
      <c r="D49" s="187"/>
      <c r="E49" s="246"/>
      <c r="F49" s="247"/>
      <c r="G49" s="188"/>
      <c r="H49" s="126"/>
      <c r="I49" s="126"/>
      <c r="J49" s="188"/>
      <c r="K49" s="214"/>
      <c r="L49" s="126" t="s">
        <v>188</v>
      </c>
      <c r="M49" s="126" t="s">
        <v>189</v>
      </c>
      <c r="N49" s="188"/>
    </row>
    <row r="50" spans="1:54">
      <c r="A50" s="230"/>
      <c r="B50" s="138"/>
      <c r="C50" s="138"/>
      <c r="D50" s="138"/>
      <c r="E50" s="138"/>
      <c r="F50" s="231"/>
      <c r="G50" s="232"/>
      <c r="H50" s="3"/>
      <c r="I50" s="3"/>
      <c r="J50" s="232"/>
      <c r="K50" s="233"/>
      <c r="L50" s="3"/>
      <c r="M50" s="3"/>
      <c r="N50" s="232"/>
      <c r="AQ50" s="151"/>
      <c r="AR50" s="151"/>
      <c r="AS50" s="151"/>
      <c r="AT50" s="151"/>
      <c r="AU50" s="151"/>
      <c r="AV50" s="151"/>
      <c r="AX50" s="151"/>
      <c r="AY50" s="151"/>
      <c r="AZ50" s="151"/>
      <c r="BA50" s="151"/>
      <c r="BB50" s="151"/>
    </row>
    <row r="51" spans="1:54" ht="20.5" thickBot="1">
      <c r="A51" s="19" t="s">
        <v>265</v>
      </c>
      <c r="B51" s="20">
        <v>225000</v>
      </c>
      <c r="D51" s="3"/>
      <c r="E51" s="3"/>
      <c r="F51" s="39"/>
      <c r="G51" s="3"/>
      <c r="H51" s="3"/>
      <c r="I51" s="3"/>
      <c r="J51" s="3"/>
    </row>
    <row r="52" spans="1:54" ht="60.5" thickBot="1">
      <c r="A52" s="179" t="s">
        <v>164</v>
      </c>
      <c r="B52" s="226" t="s">
        <v>264</v>
      </c>
      <c r="C52" s="180" t="s">
        <v>15</v>
      </c>
      <c r="D52" s="181" t="s">
        <v>0</v>
      </c>
      <c r="E52" s="180" t="s">
        <v>3</v>
      </c>
      <c r="F52" s="182" t="s">
        <v>10</v>
      </c>
      <c r="G52" s="183" t="s">
        <v>8</v>
      </c>
      <c r="H52" s="180" t="s">
        <v>19</v>
      </c>
      <c r="I52" s="180" t="s">
        <v>20</v>
      </c>
      <c r="J52" s="183" t="s">
        <v>21</v>
      </c>
      <c r="K52" s="215" t="s">
        <v>11</v>
      </c>
      <c r="L52" s="210" t="s">
        <v>185</v>
      </c>
      <c r="M52" s="180" t="s">
        <v>186</v>
      </c>
      <c r="N52" s="184" t="s">
        <v>187</v>
      </c>
    </row>
    <row r="53" spans="1:54">
      <c r="A53" s="6" t="s">
        <v>115</v>
      </c>
      <c r="B53" s="225" t="s">
        <v>267</v>
      </c>
      <c r="C53" s="4"/>
      <c r="D53" s="8"/>
      <c r="E53" s="4"/>
      <c r="F53" s="37"/>
      <c r="G53" s="12"/>
      <c r="H53" s="4"/>
      <c r="I53" s="4"/>
      <c r="J53" s="12"/>
      <c r="K53" s="24"/>
      <c r="L53" s="146"/>
      <c r="M53" s="142"/>
      <c r="N53" s="207"/>
    </row>
    <row r="54" spans="1:54">
      <c r="A54" s="7" t="s">
        <v>56</v>
      </c>
      <c r="B54" s="3">
        <v>4.2</v>
      </c>
      <c r="C54" s="35">
        <f>B54/$B$51</f>
        <v>1.8666666666666669E-5</v>
      </c>
      <c r="D54" s="103" t="s">
        <v>1</v>
      </c>
      <c r="E54" s="101">
        <f>Processes!H4</f>
        <v>61.912707699999999</v>
      </c>
      <c r="F54" s="35">
        <f t="shared" ref="F54:F68" si="36">E54*$C54</f>
        <v>1.1557038770666668E-3</v>
      </c>
      <c r="G54" s="141">
        <f t="shared" ref="G54:G67" si="37">F54/F$86</f>
        <v>3.9211152132876201E-4</v>
      </c>
      <c r="H54" s="101">
        <f>Processes!G4</f>
        <v>4.8913827999999997</v>
      </c>
      <c r="I54" s="35">
        <f t="shared" ref="I54:I68" si="38">H54*$C54</f>
        <v>9.1305812266666669E-5</v>
      </c>
      <c r="J54" s="13">
        <f>I54/I$47</f>
        <v>3.4400110361599472E-4</v>
      </c>
      <c r="K54" s="111">
        <f t="shared" ref="K54:K68" si="39">I54/F54*$B$2</f>
        <v>79.004504595427335</v>
      </c>
      <c r="L54" s="101">
        <f>Processes!J4</f>
        <v>5.4372182000000002</v>
      </c>
      <c r="M54" s="103">
        <f t="shared" ref="M54:M85" si="40">L54*$C54</f>
        <v>1.0149473973333335E-4</v>
      </c>
      <c r="N54" s="141">
        <f t="shared" ref="N54:N67" si="41">M54/M$86</f>
        <v>6.6017165962971053E-4</v>
      </c>
    </row>
    <row r="55" spans="1:54">
      <c r="A55" s="18" t="s">
        <v>147</v>
      </c>
      <c r="B55" s="3">
        <v>82</v>
      </c>
      <c r="C55" s="35">
        <f t="shared" ref="C55:C72" si="42">B55/$B$51</f>
        <v>3.6444444444444442E-4</v>
      </c>
      <c r="D55" s="103" t="s">
        <v>1</v>
      </c>
      <c r="E55" s="101">
        <f>Processes!H26</f>
        <v>114.566604899</v>
      </c>
      <c r="F55" s="35">
        <f t="shared" si="36"/>
        <v>4.1753162674302222E-2</v>
      </c>
      <c r="G55" s="13">
        <f t="shared" si="37"/>
        <v>1.4166168740440689E-2</v>
      </c>
      <c r="H55" s="101">
        <f>Processes!G26</f>
        <v>7.0482569000000002</v>
      </c>
      <c r="I55" s="35">
        <f t="shared" si="38"/>
        <v>2.568698070222222E-3</v>
      </c>
      <c r="J55" s="13">
        <f t="shared" ref="J55:J67" si="43">I55/I$86</f>
        <v>1.816617514266472E-2</v>
      </c>
      <c r="K55" s="111">
        <f t="shared" si="39"/>
        <v>61.521041897101028</v>
      </c>
      <c r="L55" s="101">
        <f>Processes!J26</f>
        <v>8.1666348000000006</v>
      </c>
      <c r="M55" s="103">
        <f t="shared" si="40"/>
        <v>2.9762846826666667E-3</v>
      </c>
      <c r="N55" s="13">
        <f t="shared" si="41"/>
        <v>1.9359218060453157E-2</v>
      </c>
    </row>
    <row r="56" spans="1:54">
      <c r="A56" s="18" t="s">
        <v>148</v>
      </c>
      <c r="B56" s="3">
        <v>287.10000000000002</v>
      </c>
      <c r="C56" s="35">
        <f t="shared" si="42"/>
        <v>1.276E-3</v>
      </c>
      <c r="D56" s="103" t="s">
        <v>1</v>
      </c>
      <c r="E56" s="101">
        <f>Processes!H7</f>
        <v>74.579202517000013</v>
      </c>
      <c r="F56" s="35">
        <f t="shared" si="36"/>
        <v>9.516306241169202E-2</v>
      </c>
      <c r="G56" s="13">
        <f t="shared" si="37"/>
        <v>3.2287278702622192E-2</v>
      </c>
      <c r="H56" s="101">
        <f>Processes!G7</f>
        <v>5.1792783</v>
      </c>
      <c r="I56" s="35">
        <f t="shared" si="38"/>
        <v>6.6087591107999999E-3</v>
      </c>
      <c r="J56" s="13">
        <f t="shared" si="43"/>
        <v>4.6738025334401301E-2</v>
      </c>
      <c r="K56" s="111">
        <f t="shared" si="39"/>
        <v>69.446683863633496</v>
      </c>
      <c r="L56" s="101">
        <f>Processes!J7</f>
        <v>5.8649728000000003</v>
      </c>
      <c r="M56" s="103">
        <f t="shared" si="40"/>
        <v>7.4837052928000006E-3</v>
      </c>
      <c r="N56" s="13">
        <f t="shared" si="41"/>
        <v>4.8677696561498097E-2</v>
      </c>
    </row>
    <row r="57" spans="1:54">
      <c r="A57" s="18" t="s">
        <v>149</v>
      </c>
      <c r="B57" s="3">
        <v>23.3</v>
      </c>
      <c r="C57" s="35">
        <f t="shared" si="42"/>
        <v>1.0355555555555556E-4</v>
      </c>
      <c r="D57" s="103" t="s">
        <v>1</v>
      </c>
      <c r="E57" s="101">
        <f>Processes!H8</f>
        <v>448.24729435900002</v>
      </c>
      <c r="F57" s="35">
        <f t="shared" si="36"/>
        <v>4.6418497593620892E-2</v>
      </c>
      <c r="G57" s="13">
        <f t="shared" si="37"/>
        <v>1.5749040970103302E-2</v>
      </c>
      <c r="H57" s="101">
        <f>Processes!G8</f>
        <v>27.933744999999998</v>
      </c>
      <c r="I57" s="35">
        <f t="shared" si="38"/>
        <v>2.8926944822222221E-3</v>
      </c>
      <c r="J57" s="13">
        <f t="shared" si="43"/>
        <v>2.0457520954855785E-2</v>
      </c>
      <c r="K57" s="111">
        <f t="shared" si="39"/>
        <v>62.317710227221006</v>
      </c>
      <c r="L57" s="101">
        <f>Processes!J8</f>
        <v>31.497869999999999</v>
      </c>
      <c r="M57" s="103">
        <f t="shared" si="40"/>
        <v>3.2617794266666666E-3</v>
      </c>
      <c r="N57" s="13">
        <f t="shared" si="41"/>
        <v>2.1216216161608341E-2</v>
      </c>
    </row>
    <row r="58" spans="1:54">
      <c r="A58" s="18" t="s">
        <v>68</v>
      </c>
      <c r="B58" s="3">
        <v>14.600000000000001</v>
      </c>
      <c r="C58" s="35">
        <f t="shared" si="42"/>
        <v>6.4888888888888893E-5</v>
      </c>
      <c r="D58" s="103" t="s">
        <v>1</v>
      </c>
      <c r="E58" s="101">
        <f>Processes!H10</f>
        <v>49.878196202369999</v>
      </c>
      <c r="F58" s="35">
        <f t="shared" si="36"/>
        <v>3.236540731353787E-3</v>
      </c>
      <c r="G58" s="13">
        <f t="shared" si="37"/>
        <v>1.0981056092281589E-3</v>
      </c>
      <c r="H58" s="101">
        <f>Processes!G10</f>
        <v>1.2878908</v>
      </c>
      <c r="I58" s="35">
        <f t="shared" si="38"/>
        <v>8.356980302222223E-5</v>
      </c>
      <c r="J58" s="13">
        <f t="shared" si="43"/>
        <v>5.9101678626182147E-4</v>
      </c>
      <c r="K58" s="111">
        <f t="shared" si="39"/>
        <v>25.820717228318792</v>
      </c>
      <c r="L58" s="101">
        <f>Processes!J10</f>
        <v>1.5171342000000001</v>
      </c>
      <c r="M58" s="103">
        <f t="shared" si="40"/>
        <v>9.8445152533333346E-5</v>
      </c>
      <c r="N58" s="13">
        <f t="shared" si="41"/>
        <v>6.4033564597718896E-4</v>
      </c>
    </row>
    <row r="59" spans="1:54">
      <c r="A59" s="18" t="s">
        <v>150</v>
      </c>
      <c r="B59" s="3">
        <v>162.9</v>
      </c>
      <c r="C59" s="35">
        <f t="shared" si="42"/>
        <v>7.2400000000000003E-4</v>
      </c>
      <c r="D59" s="103" t="s">
        <v>1</v>
      </c>
      <c r="E59" s="101">
        <f>Processes!H27</f>
        <v>14.297489357960002</v>
      </c>
      <c r="F59" s="35">
        <f t="shared" si="36"/>
        <v>1.0351382295163043E-2</v>
      </c>
      <c r="G59" s="13">
        <f t="shared" si="37"/>
        <v>3.512055588075054E-3</v>
      </c>
      <c r="H59" s="101">
        <f>Processes!G27</f>
        <v>0.96734295999999997</v>
      </c>
      <c r="I59" s="35">
        <f t="shared" si="38"/>
        <v>7.0035630304000006E-4</v>
      </c>
      <c r="J59" s="13">
        <f t="shared" si="43"/>
        <v>4.9530131278500708E-3</v>
      </c>
      <c r="K59" s="111">
        <f t="shared" si="39"/>
        <v>67.658239553886446</v>
      </c>
      <c r="L59" s="101">
        <f>Processes!J27</f>
        <v>1.0782862</v>
      </c>
      <c r="M59" s="103">
        <f t="shared" si="40"/>
        <v>7.8067920880000002E-4</v>
      </c>
      <c r="N59" s="13">
        <f t="shared" si="41"/>
        <v>5.0779211835610162E-3</v>
      </c>
    </row>
    <row r="60" spans="1:54">
      <c r="A60" s="7" t="s">
        <v>70</v>
      </c>
      <c r="B60" s="3">
        <v>49</v>
      </c>
      <c r="C60" s="35">
        <f t="shared" si="42"/>
        <v>2.1777777777777778E-4</v>
      </c>
      <c r="D60" s="103" t="s">
        <v>1</v>
      </c>
      <c r="E60" s="101">
        <f>Processes!H11</f>
        <v>11.436900889899999</v>
      </c>
      <c r="F60" s="35">
        <f t="shared" si="36"/>
        <v>2.4907028604671108E-3</v>
      </c>
      <c r="G60" s="13">
        <f t="shared" si="37"/>
        <v>8.4505495497210392E-4</v>
      </c>
      <c r="H60" s="101">
        <f>Processes!G11</f>
        <v>0.95946891999999995</v>
      </c>
      <c r="I60" s="35">
        <f t="shared" si="38"/>
        <v>2.0895100924444443E-4</v>
      </c>
      <c r="J60" s="13">
        <f t="shared" si="43"/>
        <v>1.4777293891308713E-3</v>
      </c>
      <c r="K60" s="111">
        <f t="shared" si="39"/>
        <v>83.892387390303711</v>
      </c>
      <c r="L60" s="101">
        <f>Processes!J11</f>
        <v>1.0141070999999999</v>
      </c>
      <c r="M60" s="103">
        <f t="shared" si="40"/>
        <v>2.2084999066666666E-4</v>
      </c>
      <c r="N60" s="13">
        <f t="shared" si="41"/>
        <v>1.4365168603879428E-3</v>
      </c>
    </row>
    <row r="61" spans="1:54">
      <c r="A61" s="18" t="s">
        <v>124</v>
      </c>
      <c r="B61" s="3">
        <v>3.4</v>
      </c>
      <c r="C61" s="35">
        <f t="shared" si="42"/>
        <v>1.5111111111111111E-5</v>
      </c>
      <c r="D61" s="103" t="s">
        <v>1</v>
      </c>
      <c r="E61" s="101">
        <f>Processes!H28</f>
        <v>65.306285732039996</v>
      </c>
      <c r="F61" s="35">
        <f t="shared" si="36"/>
        <v>9.8685053995082651E-4</v>
      </c>
      <c r="G61" s="13">
        <f t="shared" si="37"/>
        <v>3.3482233141449196E-4</v>
      </c>
      <c r="H61" s="101">
        <f>Processes!G28</f>
        <v>1.0636346999999999</v>
      </c>
      <c r="I61" s="35">
        <f t="shared" si="38"/>
        <v>1.6072702133333331E-5</v>
      </c>
      <c r="J61" s="13">
        <f t="shared" si="43"/>
        <v>1.13668291869256E-4</v>
      </c>
      <c r="K61" s="111">
        <f t="shared" si="39"/>
        <v>16.286865622158157</v>
      </c>
      <c r="L61" s="101">
        <f>Processes!J28</f>
        <v>1.1874221</v>
      </c>
      <c r="M61" s="103">
        <f t="shared" si="40"/>
        <v>1.7943267288888889E-5</v>
      </c>
      <c r="N61" s="13">
        <f t="shared" si="41"/>
        <v>1.1671182739527611E-4</v>
      </c>
    </row>
    <row r="62" spans="1:54">
      <c r="A62" s="7" t="s">
        <v>59</v>
      </c>
      <c r="B62" s="3">
        <v>76.5</v>
      </c>
      <c r="C62" s="35">
        <f t="shared" si="42"/>
        <v>3.4000000000000002E-4</v>
      </c>
      <c r="D62" s="103" t="s">
        <v>1</v>
      </c>
      <c r="E62" s="101">
        <f>Processes!H5</f>
        <v>218.89577508170001</v>
      </c>
      <c r="F62" s="35">
        <f t="shared" si="36"/>
        <v>7.4424563527778015E-2</v>
      </c>
      <c r="G62" s="13">
        <f t="shared" si="37"/>
        <v>2.5251043462081183E-2</v>
      </c>
      <c r="H62" s="101">
        <f>Processes!G5</f>
        <v>19.248840000000001</v>
      </c>
      <c r="I62" s="35">
        <f t="shared" si="38"/>
        <v>6.5446056000000013E-3</v>
      </c>
      <c r="J62" s="13">
        <f t="shared" si="43"/>
        <v>4.6284323154795283E-2</v>
      </c>
      <c r="K62" s="111">
        <f t="shared" si="39"/>
        <v>87.936096495309798</v>
      </c>
      <c r="L62" s="101">
        <f>Processes!J5</f>
        <v>20.97429</v>
      </c>
      <c r="M62" s="103">
        <f t="shared" si="40"/>
        <v>7.1312586000000008E-3</v>
      </c>
      <c r="N62" s="13">
        <f t="shared" si="41"/>
        <v>4.6385210086552615E-2</v>
      </c>
    </row>
    <row r="63" spans="1:54">
      <c r="A63" s="18" t="s">
        <v>152</v>
      </c>
      <c r="B63" s="3">
        <v>953.4</v>
      </c>
      <c r="C63" s="35">
        <f t="shared" si="42"/>
        <v>4.2373333333333334E-3</v>
      </c>
      <c r="D63" s="103" t="s">
        <v>1</v>
      </c>
      <c r="E63" s="101">
        <f>Processes!H30</f>
        <v>25.190272374900001</v>
      </c>
      <c r="F63" s="35">
        <f t="shared" si="36"/>
        <v>0.10673958080990961</v>
      </c>
      <c r="G63" s="13">
        <f t="shared" si="37"/>
        <v>3.6215003036589838E-2</v>
      </c>
      <c r="H63" s="101">
        <f>Processes!G30</f>
        <v>1.4794537000000001</v>
      </c>
      <c r="I63" s="35">
        <f t="shared" si="38"/>
        <v>6.2689384781333341E-3</v>
      </c>
      <c r="J63" s="13">
        <f t="shared" si="43"/>
        <v>4.433476852439415E-2</v>
      </c>
      <c r="K63" s="111">
        <f t="shared" si="39"/>
        <v>58.731151373899074</v>
      </c>
      <c r="L63" s="101">
        <f>Processes!J30</f>
        <v>1.6605251999999999</v>
      </c>
      <c r="M63" s="103">
        <f t="shared" si="40"/>
        <v>7.0361987807999998E-3</v>
      </c>
      <c r="N63" s="13">
        <f t="shared" si="41"/>
        <v>4.5766894312057813E-2</v>
      </c>
    </row>
    <row r="64" spans="1:54">
      <c r="A64" s="18" t="s">
        <v>153</v>
      </c>
      <c r="B64" s="3">
        <v>162.9</v>
      </c>
      <c r="C64" s="35">
        <f t="shared" si="42"/>
        <v>7.2400000000000003E-4</v>
      </c>
      <c r="D64" s="103" t="s">
        <v>1</v>
      </c>
      <c r="E64" s="101">
        <f>Processes!H17</f>
        <v>77.070942857709994</v>
      </c>
      <c r="F64" s="35">
        <f t="shared" si="36"/>
        <v>5.5799362628982038E-2</v>
      </c>
      <c r="G64" s="13">
        <f t="shared" si="37"/>
        <v>1.8931815842963804E-2</v>
      </c>
      <c r="H64" s="101">
        <f>Processes!G17</f>
        <v>1.5167522</v>
      </c>
      <c r="I64" s="35">
        <f t="shared" si="38"/>
        <v>1.0981285928000001E-3</v>
      </c>
      <c r="J64" s="13">
        <f t="shared" si="43"/>
        <v>7.7661117813846254E-3</v>
      </c>
      <c r="K64" s="111">
        <f t="shared" si="39"/>
        <v>19.679948677937677</v>
      </c>
      <c r="L64" s="101">
        <f>Processes!J17</f>
        <v>1.9003220999999999</v>
      </c>
      <c r="M64" s="103">
        <f t="shared" si="40"/>
        <v>1.3758332003999999E-3</v>
      </c>
      <c r="N64" s="13">
        <f t="shared" si="41"/>
        <v>8.9490951912202469E-3</v>
      </c>
    </row>
    <row r="65" spans="1:15">
      <c r="A65" s="18" t="s">
        <v>154</v>
      </c>
      <c r="B65" s="3">
        <v>9.1</v>
      </c>
      <c r="C65" s="35">
        <f t="shared" si="42"/>
        <v>4.0444444444444444E-5</v>
      </c>
      <c r="D65" s="103" t="s">
        <v>1</v>
      </c>
      <c r="E65" s="101">
        <f>Processes!H31</f>
        <v>121.66776029899999</v>
      </c>
      <c r="F65" s="35">
        <f t="shared" si="36"/>
        <v>4.9207849720928889E-3</v>
      </c>
      <c r="G65" s="13">
        <f t="shared" si="37"/>
        <v>1.669542276206926E-3</v>
      </c>
      <c r="H65" s="101">
        <f>Processes!G31</f>
        <v>4.9718327999999996</v>
      </c>
      <c r="I65" s="35">
        <f t="shared" si="38"/>
        <v>2.0108301546666664E-4</v>
      </c>
      <c r="J65" s="13">
        <f t="shared" si="43"/>
        <v>1.4220858883841516E-3</v>
      </c>
      <c r="K65" s="111">
        <f t="shared" si="39"/>
        <v>40.864011861331711</v>
      </c>
      <c r="L65" s="101">
        <f>Processes!J31</f>
        <v>6.4054308000000004</v>
      </c>
      <c r="M65" s="103">
        <f t="shared" si="40"/>
        <v>2.5906409013333334E-4</v>
      </c>
      <c r="N65" s="13">
        <f t="shared" si="41"/>
        <v>1.6850801409328037E-3</v>
      </c>
    </row>
    <row r="66" spans="1:15">
      <c r="A66" s="7" t="s">
        <v>86</v>
      </c>
      <c r="B66" s="3">
        <v>953.4</v>
      </c>
      <c r="C66" s="35">
        <f t="shared" si="42"/>
        <v>4.2373333333333334E-3</v>
      </c>
      <c r="D66" s="103" t="s">
        <v>1</v>
      </c>
      <c r="E66" s="101">
        <f>Processes!H21</f>
        <v>25.220541009999998</v>
      </c>
      <c r="F66" s="35">
        <f t="shared" si="36"/>
        <v>0.10686783910637333</v>
      </c>
      <c r="G66" s="13">
        <f t="shared" si="37"/>
        <v>3.6258518989722287E-2</v>
      </c>
      <c r="H66" s="101">
        <f>Processes!G21</f>
        <v>1.9191216</v>
      </c>
      <c r="I66" s="35">
        <f t="shared" si="38"/>
        <v>8.1319579264000005E-3</v>
      </c>
      <c r="J66" s="13">
        <f t="shared" si="43"/>
        <v>5.7510290390408933E-2</v>
      </c>
      <c r="K66" s="111">
        <f t="shared" si="39"/>
        <v>76.093593679812983</v>
      </c>
      <c r="L66" s="101">
        <f>Processes!J21</f>
        <v>2.2139538000000001</v>
      </c>
      <c r="M66" s="103">
        <f t="shared" si="40"/>
        <v>9.3812602352000007E-3</v>
      </c>
      <c r="N66" s="13">
        <f t="shared" si="41"/>
        <v>6.1020326325899051E-2</v>
      </c>
    </row>
    <row r="67" spans="1:15">
      <c r="A67" s="7" t="s">
        <v>90</v>
      </c>
      <c r="B67" s="3">
        <v>53.3</v>
      </c>
      <c r="C67" s="35">
        <f t="shared" si="42"/>
        <v>2.3688888888888889E-4</v>
      </c>
      <c r="D67" s="103" t="s">
        <v>1</v>
      </c>
      <c r="E67" s="101">
        <f>Processes!H23</f>
        <v>83.60239744319999</v>
      </c>
      <c r="F67" s="35">
        <f t="shared" si="36"/>
        <v>1.980447903876693E-2</v>
      </c>
      <c r="G67" s="13">
        <f t="shared" si="37"/>
        <v>6.7193375042788077E-3</v>
      </c>
      <c r="H67" s="101">
        <f>Processes!G23</f>
        <v>2.4385405000000002</v>
      </c>
      <c r="I67" s="35">
        <f t="shared" si="38"/>
        <v>5.7766314955555562E-4</v>
      </c>
      <c r="J67" s="13">
        <f t="shared" si="43"/>
        <v>4.0853107922418069E-3</v>
      </c>
      <c r="K67" s="111">
        <f t="shared" si="39"/>
        <v>29.168308261216559</v>
      </c>
      <c r="L67" s="101">
        <f>Processes!J23</f>
        <v>2.7275390000000002</v>
      </c>
      <c r="M67" s="103">
        <f t="shared" si="40"/>
        <v>6.4612368311111115E-4</v>
      </c>
      <c r="N67" s="13">
        <f t="shared" si="41"/>
        <v>4.202705926693787E-3</v>
      </c>
      <c r="O67" s="122"/>
    </row>
    <row r="68" spans="1:15">
      <c r="A68" s="18" t="s">
        <v>161</v>
      </c>
      <c r="B68" s="251">
        <v>2500</v>
      </c>
      <c r="C68" s="35">
        <f t="shared" si="42"/>
        <v>1.1111111111111112E-2</v>
      </c>
      <c r="D68" s="35" t="s">
        <v>2</v>
      </c>
      <c r="E68" s="108">
        <f>Processes!H48</f>
        <v>1.0261752851700001</v>
      </c>
      <c r="F68" s="103">
        <f t="shared" si="36"/>
        <v>1.1401947613000002E-2</v>
      </c>
      <c r="G68" s="13">
        <f t="shared" ref="G68" si="44">F68/F$47</f>
        <v>2.8642202696093975E-3</v>
      </c>
      <c r="H68" s="108">
        <f>Processes!G48</f>
        <v>6.8347837999999994E-2</v>
      </c>
      <c r="I68" s="35">
        <f t="shared" si="38"/>
        <v>7.5942042222222215E-4</v>
      </c>
      <c r="J68" s="13">
        <f t="shared" ref="J68" si="45">I68/I$47</f>
        <v>2.8611701365734571E-3</v>
      </c>
      <c r="K68" s="111">
        <f t="shared" si="39"/>
        <v>66.604447590722501</v>
      </c>
      <c r="L68" s="108">
        <f>Processes!J48</f>
        <v>7.8110456999999994E-2</v>
      </c>
      <c r="M68" s="35">
        <f t="shared" si="40"/>
        <v>8.6789396666666664E-4</v>
      </c>
      <c r="N68" s="13">
        <f t="shared" ref="N68" si="46">M68/M$47</f>
        <v>3.1789279166663247E-3</v>
      </c>
      <c r="O68" s="122"/>
    </row>
    <row r="69" spans="1:15">
      <c r="A69" s="6" t="s">
        <v>9</v>
      </c>
      <c r="B69" s="225" t="s">
        <v>266</v>
      </c>
      <c r="C69" s="5"/>
      <c r="D69" s="10"/>
      <c r="E69" s="5"/>
      <c r="F69" s="38"/>
      <c r="G69" s="14"/>
      <c r="H69" s="5"/>
      <c r="I69" s="116"/>
      <c r="J69" s="14"/>
      <c r="K69" s="26"/>
      <c r="L69" s="105"/>
      <c r="M69" s="143"/>
      <c r="N69" s="208"/>
    </row>
    <row r="70" spans="1:15">
      <c r="A70" s="7" t="s">
        <v>94</v>
      </c>
      <c r="B70" s="3">
        <v>556.5</v>
      </c>
      <c r="C70" s="35">
        <f t="shared" si="42"/>
        <v>2.4733333333333335E-3</v>
      </c>
      <c r="D70" s="9" t="s">
        <v>14</v>
      </c>
      <c r="E70" s="29">
        <f>Processes!H32</f>
        <v>0.70222190420999997</v>
      </c>
      <c r="F70" s="35">
        <f>E70*$C70</f>
        <v>1.7368288430794001E-3</v>
      </c>
      <c r="G70" s="13">
        <f>F70/F$86</f>
        <v>5.8927776696231671E-4</v>
      </c>
      <c r="H70" s="109">
        <f>Processes!G32</f>
        <v>4.1812312999999997E-2</v>
      </c>
      <c r="I70" s="103">
        <f>H70*$C70</f>
        <v>1.0341578748666667E-4</v>
      </c>
      <c r="J70" s="13">
        <f>I70/I$86</f>
        <v>7.3137023372967088E-4</v>
      </c>
      <c r="K70" s="110">
        <f>I70/F70*$B$2</f>
        <v>59.542877756054722</v>
      </c>
      <c r="L70" s="109">
        <f>Processes!J32</f>
        <v>4.4801749000000002E-2</v>
      </c>
      <c r="M70" s="103">
        <f t="shared" si="40"/>
        <v>1.1080965919333334E-4</v>
      </c>
      <c r="N70" s="13">
        <f>M70/M$86</f>
        <v>7.207604729552317E-4</v>
      </c>
    </row>
    <row r="71" spans="1:15">
      <c r="A71" s="7" t="s">
        <v>141</v>
      </c>
      <c r="B71" s="3">
        <v>59.1</v>
      </c>
      <c r="C71" s="35">
        <f t="shared" si="42"/>
        <v>2.6266666666666669E-4</v>
      </c>
      <c r="D71" s="9" t="s">
        <v>14</v>
      </c>
      <c r="E71" s="29">
        <f>Processes!H33</f>
        <v>2.71316117779</v>
      </c>
      <c r="F71" s="35">
        <f>E71*$C71</f>
        <v>7.1265700269950675E-4</v>
      </c>
      <c r="G71" s="13">
        <f>F71/F$86</f>
        <v>2.4179292555750391E-4</v>
      </c>
      <c r="H71" s="109">
        <f>Processes!G33</f>
        <v>0.16557683000000001</v>
      </c>
      <c r="I71" s="103">
        <f>H71*$C71</f>
        <v>4.3491514013333342E-5</v>
      </c>
      <c r="J71" s="13">
        <f>I71/I$86</f>
        <v>3.0757778422651279E-4</v>
      </c>
      <c r="K71" s="110">
        <f>I71/F71*$B$2</f>
        <v>61.027273777693622</v>
      </c>
      <c r="L71" s="109">
        <f>Processes!J33</f>
        <v>0.17185733</v>
      </c>
      <c r="M71" s="103">
        <f t="shared" si="40"/>
        <v>4.5141192013333341E-5</v>
      </c>
      <c r="N71" s="13">
        <f>M71/M$86</f>
        <v>2.9362049429758135E-4</v>
      </c>
    </row>
    <row r="72" spans="1:15">
      <c r="A72" s="7" t="s">
        <v>97</v>
      </c>
      <c r="B72" s="3">
        <v>9534</v>
      </c>
      <c r="C72" s="35">
        <f t="shared" si="42"/>
        <v>4.2373333333333332E-2</v>
      </c>
      <c r="D72" s="9" t="s">
        <v>14</v>
      </c>
      <c r="E72" s="29">
        <f>Processes!H34</f>
        <v>0.12785665997949999</v>
      </c>
      <c r="F72" s="35">
        <f>E72*$C72</f>
        <v>5.4177128721980125E-3</v>
      </c>
      <c r="G72" s="13">
        <f>F72/F$86</f>
        <v>1.8381418273267904E-3</v>
      </c>
      <c r="H72" s="109">
        <f>Processes!G34</f>
        <v>9.0969941999999998E-3</v>
      </c>
      <c r="I72" s="103">
        <f>H72*$C72</f>
        <v>3.85469967568E-4</v>
      </c>
      <c r="J72" s="13">
        <f>I72/I$86</f>
        <v>2.7260949911765142E-3</v>
      </c>
      <c r="K72" s="110">
        <f>I72/F72*$B$2</f>
        <v>71.149944019017667</v>
      </c>
      <c r="L72" s="109">
        <f>Processes!J34</f>
        <v>9.4049823999999994E-3</v>
      </c>
      <c r="M72" s="103">
        <f t="shared" si="40"/>
        <v>3.9852045422933332E-4</v>
      </c>
      <c r="N72" s="13">
        <f>M72/M$86</f>
        <v>2.592172858969944E-3</v>
      </c>
    </row>
    <row r="73" spans="1:15">
      <c r="A73" s="6" t="s">
        <v>4</v>
      </c>
      <c r="B73" s="225" t="s">
        <v>268</v>
      </c>
      <c r="C73" s="5"/>
      <c r="D73" s="10"/>
      <c r="E73" s="5"/>
      <c r="F73" s="38"/>
      <c r="G73" s="14"/>
      <c r="H73" s="5"/>
      <c r="I73" s="38"/>
      <c r="J73" s="14"/>
      <c r="K73" s="26"/>
      <c r="L73" s="105"/>
      <c r="M73" s="143"/>
      <c r="N73" s="208"/>
    </row>
    <row r="74" spans="1:15">
      <c r="A74" s="7" t="s">
        <v>184</v>
      </c>
      <c r="B74" s="240">
        <v>0.26</v>
      </c>
      <c r="C74" s="240">
        <f>B74</f>
        <v>0.26</v>
      </c>
      <c r="D74" s="9" t="s">
        <v>2</v>
      </c>
      <c r="E74" s="29">
        <f>Processes!H46</f>
        <v>9.0683380483600011</v>
      </c>
      <c r="F74" s="39">
        <f>E74*$C74</f>
        <v>2.3577678925736003</v>
      </c>
      <c r="G74" s="13">
        <f>F74/F$86</f>
        <v>0.79995228331644097</v>
      </c>
      <c r="H74" s="29">
        <f>Processes!G46</f>
        <v>0.40013556</v>
      </c>
      <c r="I74" s="11">
        <f>H74*$C74</f>
        <v>0.10403524560000001</v>
      </c>
      <c r="J74" s="13">
        <f>I74/I$86</f>
        <v>0.73575112407673471</v>
      </c>
      <c r="K74" s="25">
        <f>I74/F74*$B$2</f>
        <v>44.1244644681463</v>
      </c>
      <c r="L74" s="109">
        <f>Processes!J46</f>
        <v>0.42848921000000001</v>
      </c>
      <c r="M74" s="103">
        <f t="shared" si="40"/>
        <v>0.11140719460000001</v>
      </c>
      <c r="N74" s="13">
        <f>M74/M$86</f>
        <v>0.72464713685666227</v>
      </c>
    </row>
    <row r="75" spans="1:15">
      <c r="A75" s="18" t="s">
        <v>160</v>
      </c>
      <c r="B75" s="240">
        <v>0.26</v>
      </c>
      <c r="C75" s="240">
        <f t="shared" ref="C75:C77" si="47">B75</f>
        <v>0.26</v>
      </c>
      <c r="D75" s="9" t="s">
        <v>2</v>
      </c>
      <c r="E75" s="29">
        <f>Processes!H47</f>
        <v>0.195062311515</v>
      </c>
      <c r="F75" s="39">
        <f>E75*$C75</f>
        <v>5.07162009939E-2</v>
      </c>
      <c r="G75" s="13">
        <f>'Gasoline and electric vehicles'!$F75/F87</f>
        <v>7.9202733409215895E-2</v>
      </c>
      <c r="H75" s="29">
        <f>Processes!G47</f>
        <v>1.2823340000000001E-2</v>
      </c>
      <c r="I75" s="11">
        <f>H75*$C75</f>
        <v>3.3340684000000005E-3</v>
      </c>
      <c r="J75" s="13">
        <f>'Gasoline and electric vehicles'!$I75/I87</f>
        <v>8.1920411680245414E-2</v>
      </c>
      <c r="K75" s="25">
        <f>I75/F75*$B$2</f>
        <v>65.739711071833099</v>
      </c>
      <c r="L75" s="109">
        <f>Processes!J47</f>
        <v>1.4481565E-2</v>
      </c>
      <c r="M75" s="103">
        <f t="shared" si="40"/>
        <v>3.7652069E-3</v>
      </c>
      <c r="N75" s="13">
        <f>M75/M$86</f>
        <v>2.4490755821957921E-2</v>
      </c>
    </row>
    <row r="76" spans="1:15">
      <c r="A76" s="18" t="s">
        <v>161</v>
      </c>
      <c r="B76" s="240">
        <v>0.26</v>
      </c>
      <c r="C76" s="240">
        <f t="shared" si="47"/>
        <v>0.26</v>
      </c>
      <c r="D76" s="9" t="s">
        <v>2</v>
      </c>
      <c r="E76" s="29">
        <f>Processes!H48</f>
        <v>1.0261752851700001</v>
      </c>
      <c r="F76" s="39">
        <f>E76*$C76</f>
        <v>0.26680557414420003</v>
      </c>
      <c r="G76" s="13">
        <f>'Gasoline and electric vehicles'!$F76/F88</f>
        <v>0.31153468106158777</v>
      </c>
      <c r="H76" s="29">
        <f>Processes!G48</f>
        <v>6.8347837999999994E-2</v>
      </c>
      <c r="I76" s="11">
        <f>H76*$C76</f>
        <v>1.777043788E-2</v>
      </c>
      <c r="J76" s="13">
        <f>'Gasoline and electric vehicles'!$I76/I88</f>
        <v>0.3223063362555218</v>
      </c>
      <c r="K76" s="25">
        <f>I76/F76*$B$2</f>
        <v>66.604447590722515</v>
      </c>
      <c r="L76" s="109">
        <f>Processes!J48</f>
        <v>7.8110456999999994E-2</v>
      </c>
      <c r="M76" s="103">
        <f t="shared" si="40"/>
        <v>2.0308718819999998E-2</v>
      </c>
      <c r="N76" s="13">
        <f>M76/M$86</f>
        <v>0.132097886487306</v>
      </c>
    </row>
    <row r="77" spans="1:15">
      <c r="A77" s="162" t="s">
        <v>246</v>
      </c>
      <c r="B77" s="240">
        <v>0.26</v>
      </c>
      <c r="C77" s="240">
        <f t="shared" si="47"/>
        <v>0.26</v>
      </c>
      <c r="D77" s="9" t="s">
        <v>2</v>
      </c>
      <c r="E77" s="29">
        <f>Processes!H49</f>
        <v>10.33904117732</v>
      </c>
      <c r="F77" s="39">
        <f>E77*$C77</f>
        <v>2.6881507061032002</v>
      </c>
      <c r="G77" s="13">
        <f>'Gasoline and electric vehicles'!$F77/F89</f>
        <v>0.82011610144756741</v>
      </c>
      <c r="H77" s="29">
        <f>Processes!G49</f>
        <v>0.99176280000000006</v>
      </c>
      <c r="I77" s="11">
        <f>H77*$C77</f>
        <v>0.25785832800000003</v>
      </c>
      <c r="J77" s="13">
        <f>'Gasoline and electric vehicles'!$I77/I89</f>
        <v>0.87343537771063029</v>
      </c>
      <c r="K77" s="25">
        <f>I77/F77*$B$2</f>
        <v>95.924059396876928</v>
      </c>
      <c r="L77" s="109">
        <f>Processes!J49</f>
        <v>1.0089832999999999</v>
      </c>
      <c r="M77" s="103">
        <f t="shared" ref="M77" si="48">L77*$C77</f>
        <v>0.26233565799999997</v>
      </c>
      <c r="N77" s="13">
        <f>M77/M$86</f>
        <v>1.7063600259180076</v>
      </c>
    </row>
    <row r="78" spans="1:15">
      <c r="A78" s="6" t="s">
        <v>5</v>
      </c>
      <c r="B78" s="225" t="s">
        <v>267</v>
      </c>
      <c r="C78" s="5"/>
      <c r="D78" s="10"/>
      <c r="E78" s="5"/>
      <c r="F78" s="38"/>
      <c r="G78" s="14"/>
      <c r="H78" s="5"/>
      <c r="I78" s="38"/>
      <c r="J78" s="14"/>
      <c r="K78" s="26"/>
      <c r="L78" s="105"/>
      <c r="M78" s="143">
        <f t="shared" si="40"/>
        <v>0</v>
      </c>
      <c r="N78" s="208"/>
    </row>
    <row r="79" spans="1:15">
      <c r="A79" s="18" t="s">
        <v>156</v>
      </c>
      <c r="B79" s="3">
        <v>49</v>
      </c>
      <c r="C79" s="35">
        <f t="shared" ref="C79:C84" si="49">B79/$B$51</f>
        <v>2.1777777777777778E-4</v>
      </c>
      <c r="D79" s="103" t="s">
        <v>1</v>
      </c>
      <c r="E79" s="29">
        <f>Processes!H41</f>
        <v>0.1458860790314</v>
      </c>
      <c r="F79" s="35">
        <f t="shared" ref="F79:F82" si="50">E79*$C79</f>
        <v>3.1770746100171556E-5</v>
      </c>
      <c r="G79" s="13">
        <f>F79/F$86</f>
        <v>1.0779297218165757E-5</v>
      </c>
      <c r="H79" s="29">
        <f>Processes!G41</f>
        <v>3.9807189999999998E-3</v>
      </c>
      <c r="I79" s="35">
        <f t="shared" ref="I79:I82" si="51">H79*$C79</f>
        <v>8.6691213777777773E-7</v>
      </c>
      <c r="J79" s="13">
        <f>I79/I$86</f>
        <v>6.1309181918802049E-6</v>
      </c>
      <c r="K79" s="111">
        <f>I79/F79*$B$2</f>
        <v>27.286489748917056</v>
      </c>
      <c r="L79" s="29">
        <f>Processes!J41</f>
        <v>4.2370220999999996E-3</v>
      </c>
      <c r="M79" s="103">
        <f t="shared" si="40"/>
        <v>9.2272925733333331E-7</v>
      </c>
      <c r="N79" s="13">
        <f>M79/M$86</f>
        <v>6.0018844996611582E-6</v>
      </c>
    </row>
    <row r="80" spans="1:15">
      <c r="A80" s="18" t="s">
        <v>157</v>
      </c>
      <c r="B80" s="3">
        <v>3.4</v>
      </c>
      <c r="C80" s="35">
        <f t="shared" si="49"/>
        <v>1.5111111111111111E-5</v>
      </c>
      <c r="D80" s="103" t="s">
        <v>1</v>
      </c>
      <c r="E80" s="29">
        <f>Processes!H42</f>
        <v>0.24716554803299998</v>
      </c>
      <c r="F80" s="35">
        <f t="shared" si="50"/>
        <v>3.7349460591653327E-6</v>
      </c>
      <c r="G80" s="13">
        <f>F80/F$86</f>
        <v>1.267206427529967E-6</v>
      </c>
      <c r="H80" s="29">
        <f>Processes!G42</f>
        <v>2.8409762999999999</v>
      </c>
      <c r="I80" s="35">
        <f t="shared" si="51"/>
        <v>4.2930308533333333E-5</v>
      </c>
      <c r="J80" s="13">
        <f>I80/I$86</f>
        <v>3.036088642670637E-4</v>
      </c>
      <c r="K80" s="111">
        <f>I80/F80*$B$2</f>
        <v>11494.224509075557</v>
      </c>
      <c r="L80" s="29">
        <f>Processes!J42</f>
        <v>2.8430456</v>
      </c>
      <c r="M80" s="103">
        <f t="shared" si="40"/>
        <v>4.2961577955555556E-5</v>
      </c>
      <c r="N80" s="13">
        <f>M80/M$86</f>
        <v>2.7944321344878056E-4</v>
      </c>
    </row>
    <row r="81" spans="1:14">
      <c r="A81" s="18" t="s">
        <v>158</v>
      </c>
      <c r="B81" s="3">
        <v>162.9</v>
      </c>
      <c r="C81" s="35">
        <f t="shared" si="49"/>
        <v>7.2400000000000003E-4</v>
      </c>
      <c r="D81" s="103" t="s">
        <v>1</v>
      </c>
      <c r="E81" s="29">
        <f>Processes!H43</f>
        <v>0.23960025287510001</v>
      </c>
      <c r="F81" s="35">
        <f t="shared" si="50"/>
        <v>1.7347058308157242E-4</v>
      </c>
      <c r="G81" s="13">
        <f>F81/F$86</f>
        <v>5.8855746344423694E-5</v>
      </c>
      <c r="H81" s="29">
        <f>Processes!G43</f>
        <v>2.4003382E-2</v>
      </c>
      <c r="I81" s="35">
        <f t="shared" si="51"/>
        <v>1.7378448568E-5</v>
      </c>
      <c r="J81" s="13">
        <f>I81/I$86</f>
        <v>1.2290270470237367E-4</v>
      </c>
      <c r="K81" s="111">
        <f>I81/F81*$B$2</f>
        <v>100.18095436866086</v>
      </c>
      <c r="L81" s="29">
        <f>Processes!J43</f>
        <v>9.6838257999999997E-2</v>
      </c>
      <c r="M81" s="103">
        <f t="shared" si="40"/>
        <v>7.0110898792000005E-5</v>
      </c>
      <c r="N81" s="13">
        <f>M81/M$86</f>
        <v>4.5603573678059409E-4</v>
      </c>
    </row>
    <row r="82" spans="1:14">
      <c r="A82" s="18" t="s">
        <v>136</v>
      </c>
      <c r="B82" s="3">
        <v>9.1</v>
      </c>
      <c r="C82" s="35">
        <f t="shared" si="49"/>
        <v>4.0444444444444444E-5</v>
      </c>
      <c r="D82" s="103" t="s">
        <v>1</v>
      </c>
      <c r="E82" s="29">
        <f>Processes!H44</f>
        <v>0.67096498463999998</v>
      </c>
      <c r="F82" s="35">
        <f t="shared" si="50"/>
        <v>2.7136806045439998E-5</v>
      </c>
      <c r="G82" s="13">
        <f>F82/F$86</f>
        <v>9.2070767552398001E-6</v>
      </c>
      <c r="H82" s="29">
        <f>Processes!G44</f>
        <v>0.47093748000000002</v>
      </c>
      <c r="I82" s="35">
        <f t="shared" si="51"/>
        <v>1.9046804746666668E-5</v>
      </c>
      <c r="J82" s="13">
        <f>I82/I$86</f>
        <v>1.3470154197848201E-4</v>
      </c>
      <c r="K82" s="111">
        <f>I82/F82*$B$2</f>
        <v>701.88085933079981</v>
      </c>
      <c r="L82" s="29">
        <f>Processes!J44</f>
        <v>0.62918377000000003</v>
      </c>
      <c r="M82" s="103">
        <f t="shared" si="40"/>
        <v>2.5446988031111113E-5</v>
      </c>
      <c r="N82" s="13">
        <f>M82/M$86</f>
        <v>1.6551971427499189E-4</v>
      </c>
    </row>
    <row r="83" spans="1:14">
      <c r="A83" s="18" t="s">
        <v>270</v>
      </c>
      <c r="B83" s="29">
        <f>B62</f>
        <v>76.5</v>
      </c>
      <c r="C83" s="35">
        <f t="shared" si="49"/>
        <v>3.4000000000000002E-4</v>
      </c>
      <c r="D83" s="103"/>
      <c r="E83" s="29"/>
      <c r="F83" s="35"/>
      <c r="G83" s="13"/>
      <c r="H83" s="29"/>
      <c r="I83" s="35"/>
      <c r="J83" s="13"/>
      <c r="K83" s="111"/>
      <c r="L83" s="29"/>
      <c r="M83" s="103"/>
      <c r="N83" s="13"/>
    </row>
    <row r="84" spans="1:14">
      <c r="A84" s="18" t="s">
        <v>271</v>
      </c>
      <c r="B84" s="29">
        <v>956.9</v>
      </c>
      <c r="C84" s="35">
        <f t="shared" si="49"/>
        <v>4.2528888888888885E-3</v>
      </c>
      <c r="D84" s="103"/>
      <c r="E84" s="29"/>
      <c r="F84" s="35"/>
      <c r="G84" s="13"/>
      <c r="H84" s="29"/>
      <c r="I84" s="35"/>
      <c r="J84" s="13"/>
      <c r="K84" s="111"/>
      <c r="L84" s="29"/>
      <c r="M84" s="103"/>
      <c r="N84" s="13"/>
    </row>
    <row r="85" spans="1:14" ht="20.5" thickBot="1">
      <c r="A85" s="6" t="s">
        <v>6</v>
      </c>
      <c r="B85" s="238"/>
      <c r="C85" s="222"/>
      <c r="D85" s="221"/>
      <c r="E85" s="222"/>
      <c r="F85" s="223"/>
      <c r="G85" s="224"/>
      <c r="H85" s="5"/>
      <c r="I85" s="5"/>
      <c r="J85" s="14"/>
      <c r="K85" s="26"/>
      <c r="L85" s="145"/>
      <c r="M85" s="144">
        <f t="shared" si="40"/>
        <v>0</v>
      </c>
      <c r="N85" s="209">
        <f t="shared" ref="N85:N86" si="52">M85/M$47</f>
        <v>0</v>
      </c>
    </row>
    <row r="86" spans="1:14" ht="20.5" thickBot="1">
      <c r="A86" s="131" t="s">
        <v>179</v>
      </c>
      <c r="B86" s="234" t="s">
        <v>13</v>
      </c>
      <c r="C86" s="132"/>
      <c r="D86" s="133" t="s">
        <v>13</v>
      </c>
      <c r="E86" s="132"/>
      <c r="F86" s="134">
        <f>SUM(F$54:F$72)+SUM(F$79:F$82)+F74</f>
        <v>2.9473856650533827</v>
      </c>
      <c r="G86" s="135">
        <f>F86/F$86</f>
        <v>1</v>
      </c>
      <c r="H86" s="136"/>
      <c r="I86" s="134">
        <f>SUM(I$54:I$72)+SUM(I$79:I$82)+I74</f>
        <v>0.14140004982058269</v>
      </c>
      <c r="J86" s="135">
        <f>I86/I$86</f>
        <v>1</v>
      </c>
      <c r="K86" s="211">
        <f>I86/F86*$B$2</f>
        <v>47.974736220351964</v>
      </c>
      <c r="L86" s="136"/>
      <c r="M86" s="134">
        <f>SUM(M$54:M$72)+SUM(M$79:M$82)+M74</f>
        <v>0.15373992241693868</v>
      </c>
      <c r="N86" s="135">
        <f t="shared" si="52"/>
        <v>0.56311963217625161</v>
      </c>
    </row>
    <row r="87" spans="1:14" ht="20.5" thickBot="1">
      <c r="A87" s="125" t="s">
        <v>181</v>
      </c>
      <c r="B87" s="234" t="s">
        <v>13</v>
      </c>
      <c r="C87" s="126"/>
      <c r="D87" s="127" t="s">
        <v>13</v>
      </c>
      <c r="E87" s="126"/>
      <c r="F87" s="134">
        <f>SUM(F$54:F$72)+SUM(F$79:F$82)+F75</f>
        <v>0.64033397347368248</v>
      </c>
      <c r="G87" s="128">
        <f>F87/F$86</f>
        <v>0.21725489849055257</v>
      </c>
      <c r="H87" s="129"/>
      <c r="I87" s="134">
        <f>SUM(I$54:I$72)+SUM(I$79:I$82)+I75</f>
        <v>4.0698872620582666E-2</v>
      </c>
      <c r="J87" s="128">
        <f>I87/I$86</f>
        <v>0.28782785205679889</v>
      </c>
      <c r="K87" s="130">
        <f>I87/F87*$B$2</f>
        <v>63.558821344117511</v>
      </c>
      <c r="L87" s="129"/>
      <c r="M87" s="134">
        <f>SUM(M$54:M$72)+SUM(M$79:M$82)+M75</f>
        <v>4.6097934716938668E-2</v>
      </c>
      <c r="N87" s="128">
        <f>M87/M$86</f>
        <v>0.2998436189652956</v>
      </c>
    </row>
    <row r="88" spans="1:14" ht="20.5" thickBot="1">
      <c r="A88" s="131" t="s">
        <v>182</v>
      </c>
      <c r="B88" s="234" t="s">
        <v>13</v>
      </c>
      <c r="C88" s="132"/>
      <c r="D88" s="133" t="s">
        <v>13</v>
      </c>
      <c r="E88" s="132"/>
      <c r="F88" s="134">
        <f>SUM(F$54:F$72)+SUM(F$79:F$82)+F76</f>
        <v>0.85642334662398256</v>
      </c>
      <c r="G88" s="135">
        <f>F88/F$86</f>
        <v>0.29057050686594527</v>
      </c>
      <c r="H88" s="136"/>
      <c r="I88" s="134">
        <f>SUM(I$54:I$72)+SUM(I$79:I$82)+I76</f>
        <v>5.5135242100582668E-2</v>
      </c>
      <c r="J88" s="135">
        <f>I88/I$86</f>
        <v>0.38992378128962291</v>
      </c>
      <c r="K88" s="137">
        <f>I88/F88*$B$2</f>
        <v>64.378490285120762</v>
      </c>
      <c r="L88" s="136"/>
      <c r="M88" s="134">
        <f>SUM(M$54:M$72)+SUM(M$79:M$82)+M76</f>
        <v>6.2641446636938672E-2</v>
      </c>
      <c r="N88" s="135">
        <f>M88/M$86</f>
        <v>0.4074507496306437</v>
      </c>
    </row>
    <row r="89" spans="1:14" ht="20.5" thickBot="1">
      <c r="A89" s="131" t="s">
        <v>247</v>
      </c>
      <c r="B89" s="234" t="s">
        <v>13</v>
      </c>
      <c r="C89" s="132"/>
      <c r="D89" s="133" t="s">
        <v>13</v>
      </c>
      <c r="E89" s="132"/>
      <c r="F89" s="134">
        <f>SUM(F$54:F$72)+SUM(F$79:F$82)+F77</f>
        <v>3.2777684785829826</v>
      </c>
      <c r="G89" s="135">
        <f>F89/F$86</f>
        <v>1.1120935130569742</v>
      </c>
      <c r="H89" s="136"/>
      <c r="I89" s="134">
        <f>SUM(I$54:I$72)+SUM(I$79:I$82)+I77</f>
        <v>0.29522313222058272</v>
      </c>
      <c r="J89" s="135">
        <f>I89/I$86</f>
        <v>2.0878573423077325</v>
      </c>
      <c r="K89" s="137">
        <f>I89/F89*$B$2</f>
        <v>90.068329764465574</v>
      </c>
      <c r="L89" s="136"/>
      <c r="M89" s="134">
        <f>SUM(M$54:M$72)+SUM(M$79:M$82)+M77</f>
        <v>0.30466838581693867</v>
      </c>
      <c r="N89" s="135">
        <f>M89/M$86</f>
        <v>1.9817128890613456</v>
      </c>
    </row>
    <row r="90" spans="1:14">
      <c r="A90" s="22" t="s">
        <v>16</v>
      </c>
      <c r="B90" s="227"/>
      <c r="C90" s="305"/>
      <c r="D90" s="306"/>
      <c r="E90" s="306"/>
      <c r="F90" s="306"/>
      <c r="G90" s="306"/>
      <c r="J90" s="122"/>
    </row>
    <row r="91" spans="1:14" ht="52.4" customHeight="1">
      <c r="A91" s="23" t="s">
        <v>175</v>
      </c>
      <c r="B91" s="228"/>
      <c r="C91" s="307" t="s">
        <v>272</v>
      </c>
      <c r="D91" s="308"/>
      <c r="E91" s="308"/>
      <c r="F91" s="308"/>
      <c r="G91" s="308"/>
      <c r="H91" s="309"/>
    </row>
    <row r="92" spans="1:14" ht="43.4" customHeight="1">
      <c r="A92" s="23" t="s">
        <v>176</v>
      </c>
      <c r="B92" s="228"/>
      <c r="C92" s="307" t="s">
        <v>273</v>
      </c>
      <c r="D92" s="308"/>
      <c r="E92" s="308"/>
      <c r="F92" s="308"/>
      <c r="G92" s="308"/>
      <c r="H92" s="309"/>
    </row>
    <row r="93" spans="1:14" ht="152.15" customHeight="1">
      <c r="A93" s="23" t="s">
        <v>17</v>
      </c>
      <c r="B93" s="228"/>
      <c r="C93" s="307" t="s">
        <v>251</v>
      </c>
      <c r="D93" s="308"/>
      <c r="E93" s="308"/>
      <c r="F93" s="308"/>
      <c r="G93" s="308"/>
      <c r="H93" s="309"/>
    </row>
    <row r="94" spans="1:14" ht="107.5" customHeight="1">
      <c r="A94" s="23" t="s">
        <v>18</v>
      </c>
      <c r="B94" s="228"/>
      <c r="C94" s="307" t="s">
        <v>252</v>
      </c>
      <c r="D94" s="308"/>
      <c r="E94" s="308"/>
      <c r="F94" s="308"/>
      <c r="G94" s="308"/>
      <c r="H94" s="309"/>
    </row>
    <row r="95" spans="1:14" ht="60">
      <c r="A95" s="23" t="s">
        <v>177</v>
      </c>
      <c r="B95" s="228"/>
      <c r="C95" s="307" t="s">
        <v>253</v>
      </c>
      <c r="D95" s="308"/>
      <c r="E95" s="308"/>
      <c r="F95" s="308"/>
      <c r="G95" s="308"/>
      <c r="H95" s="309"/>
    </row>
    <row r="96" spans="1:14">
      <c r="A96" s="21"/>
      <c r="B96" s="229"/>
      <c r="C96" s="303"/>
      <c r="D96" s="304"/>
      <c r="E96" s="304"/>
      <c r="F96" s="304"/>
      <c r="G96" s="304"/>
    </row>
    <row r="97" spans="1:25">
      <c r="A97" s="21"/>
      <c r="B97" s="229"/>
      <c r="C97" s="21"/>
      <c r="D97" s="49"/>
      <c r="E97" s="49"/>
      <c r="F97" s="49"/>
      <c r="G97" s="49"/>
    </row>
    <row r="98" spans="1:25">
      <c r="A98" s="21"/>
      <c r="B98" s="229"/>
      <c r="C98" s="21"/>
      <c r="D98" s="49"/>
      <c r="E98" s="49"/>
      <c r="F98" s="49"/>
      <c r="G98" s="49"/>
    </row>
    <row r="101" spans="1:25">
      <c r="R101" s="4"/>
      <c r="S101" s="4"/>
      <c r="T101" s="4"/>
      <c r="U101" s="4"/>
      <c r="V101" s="4"/>
      <c r="W101" s="4"/>
      <c r="X101" s="4"/>
      <c r="Y101" s="4"/>
    </row>
    <row r="102" spans="1:25">
      <c r="R102" s="40">
        <f>Processes!H85</f>
        <v>0</v>
      </c>
      <c r="S102" s="40"/>
      <c r="T102" s="40"/>
      <c r="U102" s="40"/>
      <c r="V102" s="40"/>
      <c r="W102" s="40"/>
      <c r="X102" s="40"/>
      <c r="Y102" s="40"/>
    </row>
    <row r="103" spans="1:25">
      <c r="R103" s="29">
        <f>Processes!H76</f>
        <v>0</v>
      </c>
      <c r="S103" s="29"/>
      <c r="T103" s="29"/>
      <c r="U103" s="29"/>
      <c r="V103" s="29"/>
      <c r="W103" s="29"/>
      <c r="X103" s="29"/>
      <c r="Y103" s="29"/>
    </row>
    <row r="104" spans="1:25">
      <c r="R104" s="5"/>
      <c r="S104" s="5"/>
      <c r="T104" s="5"/>
      <c r="U104" s="5"/>
      <c r="V104" s="5"/>
      <c r="W104" s="5"/>
      <c r="X104" s="5"/>
      <c r="Y104" s="5"/>
    </row>
    <row r="105" spans="1:25">
      <c r="R105" s="3">
        <v>27.1</v>
      </c>
      <c r="S105" s="3"/>
      <c r="T105" s="3"/>
      <c r="U105" s="3"/>
      <c r="V105" s="3"/>
      <c r="W105" s="3"/>
      <c r="X105" s="3"/>
      <c r="Y105" s="3"/>
    </row>
    <row r="106" spans="1:25">
      <c r="R106" s="5"/>
      <c r="S106" s="5"/>
      <c r="T106" s="5"/>
      <c r="U106" s="5"/>
      <c r="V106" s="5"/>
      <c r="W106" s="5"/>
      <c r="X106" s="5"/>
      <c r="Y106" s="5"/>
    </row>
    <row r="107" spans="1:25">
      <c r="R107" s="40">
        <f>Processes!H84</f>
        <v>0</v>
      </c>
      <c r="S107" s="40"/>
      <c r="T107" s="40"/>
      <c r="U107" s="40"/>
      <c r="V107" s="40"/>
      <c r="W107" s="40"/>
      <c r="X107" s="40"/>
      <c r="Y107" s="40"/>
    </row>
    <row r="108" spans="1:25">
      <c r="R108" s="16">
        <f>Processes!G83</f>
        <v>0</v>
      </c>
      <c r="S108" s="16"/>
      <c r="T108" s="16"/>
      <c r="U108" s="16"/>
      <c r="V108" s="16"/>
      <c r="W108" s="16"/>
      <c r="X108" s="16"/>
      <c r="Y108" s="16"/>
    </row>
    <row r="109" spans="1:25">
      <c r="R109" s="5"/>
      <c r="S109" s="5"/>
      <c r="T109" s="5"/>
      <c r="U109" s="5"/>
      <c r="V109" s="5"/>
      <c r="W109" s="5"/>
      <c r="X109" s="5"/>
      <c r="Y109" s="5"/>
    </row>
    <row r="110" spans="1:25">
      <c r="R110" s="3"/>
      <c r="S110" s="3"/>
      <c r="T110" s="3"/>
      <c r="U110" s="3"/>
      <c r="V110" s="3"/>
      <c r="W110" s="3"/>
      <c r="X110" s="3"/>
      <c r="Y110" s="3"/>
    </row>
    <row r="111" spans="1:25">
      <c r="R111" s="5"/>
      <c r="S111" s="5"/>
      <c r="T111" s="5"/>
      <c r="U111" s="5"/>
      <c r="V111" s="5"/>
      <c r="W111" s="5"/>
      <c r="X111" s="5"/>
      <c r="Y111" s="5"/>
    </row>
    <row r="112" spans="1:25">
      <c r="R112" s="29">
        <f>Processes!H80</f>
        <v>0</v>
      </c>
      <c r="S112" s="29"/>
      <c r="T112" s="29"/>
      <c r="U112" s="29"/>
      <c r="V112" s="29"/>
      <c r="W112" s="29"/>
      <c r="X112" s="29"/>
      <c r="Y112" s="29"/>
    </row>
    <row r="113" spans="18:25">
      <c r="R113" s="29">
        <f>Processes!H81</f>
        <v>0</v>
      </c>
      <c r="S113" s="29"/>
      <c r="T113" s="29"/>
      <c r="U113" s="29"/>
      <c r="V113" s="29"/>
      <c r="W113" s="29"/>
      <c r="X113" s="29"/>
      <c r="Y113" s="29"/>
    </row>
    <row r="114" spans="18:25">
      <c r="R114" s="29">
        <f>Processes!H75</f>
        <v>0</v>
      </c>
      <c r="S114" s="29"/>
      <c r="T114" s="29"/>
      <c r="U114" s="29"/>
      <c r="V114" s="29"/>
      <c r="W114" s="29"/>
      <c r="X114" s="29"/>
      <c r="Y114" s="29"/>
    </row>
    <row r="115" spans="18:25">
      <c r="R115" s="17"/>
      <c r="S115" s="5"/>
      <c r="T115" s="5"/>
      <c r="U115" s="5"/>
      <c r="V115" s="5"/>
      <c r="W115" s="5"/>
      <c r="X115" s="5"/>
      <c r="Y115" s="5"/>
    </row>
    <row r="116" spans="18:25">
      <c r="R116" s="3"/>
      <c r="S116" s="3"/>
      <c r="T116" s="3"/>
      <c r="U116" s="3"/>
      <c r="V116" s="3"/>
      <c r="W116" s="3"/>
      <c r="X116" s="3"/>
      <c r="Y116" s="3"/>
    </row>
    <row r="117" spans="18:25">
      <c r="R117" s="3"/>
      <c r="S117" s="3"/>
      <c r="T117" s="3"/>
      <c r="U117" s="3"/>
      <c r="V117" s="3"/>
      <c r="W117" s="3"/>
      <c r="X117" s="3"/>
      <c r="Y117" s="3"/>
    </row>
    <row r="118" spans="18:25">
      <c r="R118" s="3"/>
      <c r="S118" s="3"/>
      <c r="T118" s="3"/>
      <c r="U118" s="3"/>
      <c r="V118" s="3"/>
      <c r="W118" s="3"/>
      <c r="X118" s="3"/>
      <c r="Y118" s="3"/>
    </row>
    <row r="119" spans="18:25" ht="20.5" thickBot="1">
      <c r="R119" s="27" t="s">
        <v>3</v>
      </c>
      <c r="S119" s="2"/>
      <c r="T119" s="2"/>
      <c r="U119" s="2"/>
      <c r="V119" s="2"/>
      <c r="W119" s="2"/>
      <c r="X119" s="2"/>
      <c r="Y119" s="2"/>
    </row>
    <row r="120" spans="18:25">
      <c r="R120" s="4"/>
      <c r="S120" s="4"/>
      <c r="T120" s="4"/>
      <c r="U120" s="4"/>
      <c r="V120" s="4"/>
      <c r="W120" s="4"/>
      <c r="X120" s="4"/>
      <c r="Y120" s="4"/>
    </row>
    <row r="121" spans="18:25">
      <c r="R121" s="29">
        <f>Processes!H77</f>
        <v>0</v>
      </c>
      <c r="S121" s="29"/>
      <c r="T121" s="29"/>
      <c r="U121" s="29"/>
      <c r="V121" s="29"/>
      <c r="W121" s="29"/>
      <c r="X121" s="29"/>
      <c r="Y121" s="29"/>
    </row>
    <row r="122" spans="18:25">
      <c r="R122" s="29">
        <f>Processes!H78</f>
        <v>0</v>
      </c>
      <c r="S122" s="29"/>
      <c r="T122" s="29"/>
      <c r="U122" s="29"/>
      <c r="V122" s="29"/>
      <c r="W122" s="29"/>
      <c r="X122" s="29"/>
      <c r="Y122" s="29"/>
    </row>
    <row r="123" spans="18:25">
      <c r="R123" s="5"/>
      <c r="S123" s="5"/>
      <c r="T123" s="5"/>
      <c r="U123" s="5"/>
      <c r="V123" s="5"/>
      <c r="W123" s="5"/>
      <c r="X123" s="5"/>
      <c r="Y123" s="5"/>
    </row>
    <row r="124" spans="18:25">
      <c r="R124" s="3">
        <v>27.1</v>
      </c>
      <c r="S124" s="3"/>
      <c r="T124" s="3"/>
      <c r="U124" s="3"/>
      <c r="V124" s="3"/>
      <c r="W124" s="3"/>
      <c r="X124" s="3"/>
      <c r="Y124" s="3"/>
    </row>
    <row r="125" spans="18:25">
      <c r="R125" s="5"/>
      <c r="S125" s="5"/>
      <c r="T125" s="5"/>
      <c r="U125" s="5"/>
      <c r="V125" s="5"/>
      <c r="W125" s="5"/>
      <c r="X125" s="5"/>
      <c r="Y125" s="5"/>
    </row>
    <row r="126" spans="18:25">
      <c r="R126" s="40">
        <f>Processes!H83</f>
        <v>0</v>
      </c>
      <c r="S126" s="40"/>
      <c r="T126" s="40"/>
      <c r="U126" s="40"/>
      <c r="V126" s="40"/>
      <c r="W126" s="40"/>
      <c r="X126" s="40"/>
      <c r="Y126" s="40"/>
    </row>
    <row r="127" spans="18:25">
      <c r="R127" s="5"/>
      <c r="S127" s="5"/>
      <c r="T127" s="5"/>
      <c r="U127" s="5"/>
      <c r="V127" s="5"/>
      <c r="W127" s="5"/>
      <c r="X127" s="5"/>
      <c r="Y127" s="5"/>
    </row>
    <row r="128" spans="18:25">
      <c r="R128" s="29">
        <f>Processes!H75</f>
        <v>0</v>
      </c>
      <c r="S128" s="29"/>
      <c r="T128" s="29"/>
      <c r="U128" s="29"/>
      <c r="V128" s="29"/>
      <c r="W128" s="29"/>
      <c r="X128" s="29"/>
      <c r="Y128" s="29"/>
    </row>
    <row r="129" spans="6:25">
      <c r="R129" s="5"/>
      <c r="S129" s="5"/>
      <c r="T129" s="5"/>
      <c r="U129" s="5"/>
      <c r="V129" s="5"/>
      <c r="W129" s="5"/>
      <c r="X129" s="5"/>
      <c r="Y129" s="5"/>
    </row>
    <row r="130" spans="6:25">
      <c r="R130" s="29">
        <f>Processes!H79</f>
        <v>0</v>
      </c>
      <c r="S130" s="29"/>
      <c r="T130" s="29"/>
      <c r="U130" s="29"/>
      <c r="V130" s="29"/>
      <c r="W130" s="29"/>
      <c r="X130" s="29"/>
      <c r="Y130" s="29"/>
    </row>
    <row r="131" spans="6:25">
      <c r="R131" s="17"/>
      <c r="S131" s="5"/>
      <c r="T131" s="5"/>
      <c r="U131" s="5"/>
      <c r="V131" s="5"/>
      <c r="W131" s="5"/>
      <c r="X131" s="5"/>
      <c r="Y131" s="5"/>
    </row>
    <row r="132" spans="6:25">
      <c r="R132" s="3"/>
      <c r="S132" s="3"/>
      <c r="T132" s="3"/>
      <c r="U132" s="3"/>
      <c r="V132" s="3"/>
      <c r="W132" s="3"/>
      <c r="X132" s="3"/>
      <c r="Y132" s="3"/>
    </row>
    <row r="144" spans="6:25">
      <c r="F144" s="1"/>
      <c r="K144" s="25"/>
      <c r="L144" s="124"/>
      <c r="M144" s="124"/>
      <c r="N144" s="124"/>
    </row>
    <row r="145" spans="6:14">
      <c r="F145" s="1"/>
      <c r="K145" s="25"/>
      <c r="L145" s="124"/>
      <c r="M145" s="124"/>
      <c r="N145" s="124"/>
    </row>
  </sheetData>
  <mergeCells count="7">
    <mergeCell ref="C96:G96"/>
    <mergeCell ref="C90:G90"/>
    <mergeCell ref="C91:H91"/>
    <mergeCell ref="C92:H92"/>
    <mergeCell ref="C93:H93"/>
    <mergeCell ref="C94:H94"/>
    <mergeCell ref="C95:H95"/>
  </mergeCells>
  <phoneticPr fontId="17" type="noConversion"/>
  <pageMargins left="0.7" right="0.7" top="0.75" bottom="0.75" header="0.3" footer="0.3"/>
  <pageSetup orientation="portrait" horizontalDpi="1200" verticalDpi="12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EB3FF-4909-4699-921B-160B74283057}">
  <dimension ref="A1:P83"/>
  <sheetViews>
    <sheetView tabSelected="1" topLeftCell="A48" zoomScale="50" zoomScaleNormal="50" workbookViewId="0">
      <selection activeCell="I42" sqref="I42"/>
    </sheetView>
  </sheetViews>
  <sheetFormatPr defaultColWidth="30.7265625" defaultRowHeight="20"/>
  <cols>
    <col min="1" max="1" width="60.453125" style="1" customWidth="1"/>
    <col min="2" max="2" width="34.54296875" style="3" customWidth="1"/>
    <col min="3" max="3" width="35" style="3" customWidth="1"/>
    <col min="4" max="4" width="24.1796875" style="1" customWidth="1"/>
    <col min="5" max="5" width="18.81640625" style="1" customWidth="1"/>
    <col min="6" max="6" width="19" style="1" customWidth="1"/>
    <col min="7" max="7" width="17.26953125" style="36" customWidth="1"/>
    <col min="8" max="8" width="14" style="122" customWidth="1"/>
    <col min="9" max="9" width="30.7265625" style="1"/>
    <col min="10" max="10" width="42.453125" style="1" customWidth="1"/>
    <col min="11" max="15" width="30.7265625" style="3"/>
    <col min="16" max="16384" width="30.7265625" style="1"/>
  </cols>
  <sheetData>
    <row r="1" spans="1:16">
      <c r="C1" s="1"/>
      <c r="G1" s="1"/>
    </row>
    <row r="2" spans="1:16" ht="24" customHeight="1">
      <c r="C2" s="1"/>
      <c r="G2" s="1"/>
    </row>
    <row r="3" spans="1:16" ht="22.75" customHeight="1">
      <c r="A3" s="19" t="s">
        <v>308</v>
      </c>
      <c r="B3" s="20">
        <v>10</v>
      </c>
      <c r="C3" s="20"/>
      <c r="D3" s="19"/>
      <c r="E3" s="19"/>
      <c r="F3" s="19"/>
      <c r="G3" s="19"/>
      <c r="H3" s="270"/>
    </row>
    <row r="4" spans="1:16">
      <c r="A4" s="19" t="s">
        <v>265</v>
      </c>
      <c r="B4" s="20">
        <v>150000</v>
      </c>
      <c r="C4" s="20"/>
      <c r="D4" s="19"/>
      <c r="E4" s="19"/>
      <c r="F4" s="19" t="s">
        <v>312</v>
      </c>
      <c r="G4" s="269"/>
      <c r="H4" s="270"/>
      <c r="J4" s="261" t="s">
        <v>312</v>
      </c>
      <c r="K4" s="262"/>
      <c r="L4" s="263"/>
    </row>
    <row r="5" spans="1:16" s="2" customFormat="1" ht="59.15" customHeight="1">
      <c r="A5" s="48" t="s">
        <v>163</v>
      </c>
      <c r="B5" s="265"/>
      <c r="C5" s="265" t="s">
        <v>264</v>
      </c>
      <c r="D5" s="48" t="s">
        <v>15</v>
      </c>
      <c r="E5" s="265" t="s">
        <v>0</v>
      </c>
      <c r="F5" s="48" t="s">
        <v>294</v>
      </c>
      <c r="G5" s="271" t="s">
        <v>314</v>
      </c>
      <c r="H5" s="272" t="s">
        <v>313</v>
      </c>
      <c r="J5" s="260" t="s">
        <v>318</v>
      </c>
      <c r="K5" s="264" t="s">
        <v>317</v>
      </c>
      <c r="L5" s="264" t="s">
        <v>166</v>
      </c>
      <c r="M5" s="265" t="s">
        <v>325</v>
      </c>
      <c r="N5" s="265"/>
      <c r="O5" s="265"/>
      <c r="P5" s="1"/>
    </row>
    <row r="6" spans="1:16">
      <c r="A6" s="273" t="s">
        <v>301</v>
      </c>
      <c r="B6" s="274" t="s">
        <v>309</v>
      </c>
      <c r="C6" s="275" t="s">
        <v>267</v>
      </c>
      <c r="D6" s="274" t="s">
        <v>269</v>
      </c>
      <c r="E6" s="273"/>
      <c r="F6" s="273"/>
      <c r="G6" s="276"/>
      <c r="H6" s="277"/>
      <c r="J6" s="42" t="s">
        <v>301</v>
      </c>
      <c r="K6" s="266">
        <f>SUM(G7:G8)</f>
        <v>0.26666666666666666</v>
      </c>
      <c r="L6" s="266">
        <f>SUM(G29:G30)</f>
        <v>0.26666666666666666</v>
      </c>
      <c r="M6" s="266">
        <f>SUM(G53:G54)</f>
        <v>8.8888888888888889E-3</v>
      </c>
      <c r="N6" s="266"/>
      <c r="O6" s="266"/>
    </row>
    <row r="7" spans="1:16">
      <c r="A7" s="19" t="s">
        <v>328</v>
      </c>
      <c r="B7" s="20">
        <f>$B$4</f>
        <v>150000</v>
      </c>
      <c r="C7" s="20">
        <v>1</v>
      </c>
      <c r="D7" s="278">
        <f>C7/B7</f>
        <v>6.6666666666666666E-6</v>
      </c>
      <c r="E7" s="278" t="s">
        <v>319</v>
      </c>
      <c r="F7" s="268">
        <v>40000</v>
      </c>
      <c r="G7" s="278">
        <f>F7*D7</f>
        <v>0.26666666666666666</v>
      </c>
      <c r="H7" s="279">
        <f>G7/G$20</f>
        <v>0.5434682823831819</v>
      </c>
      <c r="J7" s="43" t="s">
        <v>302</v>
      </c>
      <c r="K7" s="266">
        <f>SUM(G10:G11)</f>
        <v>4.6666666666666669E-2</v>
      </c>
      <c r="L7" s="266">
        <f>SUM(G32:G33)</f>
        <v>3.5555555555555556E-2</v>
      </c>
      <c r="M7" s="113">
        <f>SUM(G56:G58)</f>
        <v>0.39555555555555555</v>
      </c>
      <c r="N7" s="113"/>
      <c r="O7" s="113"/>
    </row>
    <row r="8" spans="1:16">
      <c r="A8" s="19" t="s">
        <v>296</v>
      </c>
      <c r="B8" s="20">
        <f>$B$4</f>
        <v>150000</v>
      </c>
      <c r="C8" s="20">
        <v>1</v>
      </c>
      <c r="D8" s="278">
        <f>C8/B8</f>
        <v>6.6666666666666666E-6</v>
      </c>
      <c r="E8" s="278" t="s">
        <v>319</v>
      </c>
      <c r="F8" s="268"/>
      <c r="G8" s="278">
        <f>F8*D8</f>
        <v>0</v>
      </c>
      <c r="H8" s="279">
        <f>G8/G$20</f>
        <v>0</v>
      </c>
      <c r="J8" s="42" t="s">
        <v>307</v>
      </c>
      <c r="K8" s="267">
        <f>SUM(G13:G14)</f>
        <v>0.105</v>
      </c>
      <c r="L8" s="267">
        <f>SUM(G35:G36)</f>
        <v>6.0000000000000005E-2</v>
      </c>
      <c r="M8" s="267">
        <f>SUM(G60:G61)</f>
        <v>0</v>
      </c>
      <c r="N8" s="267"/>
      <c r="O8" s="267"/>
    </row>
    <row r="9" spans="1:16">
      <c r="A9" s="273" t="s">
        <v>302</v>
      </c>
      <c r="B9" s="274" t="s">
        <v>310</v>
      </c>
      <c r="C9" s="275" t="s">
        <v>295</v>
      </c>
      <c r="D9" s="274" t="s">
        <v>269</v>
      </c>
      <c r="E9" s="280"/>
      <c r="F9" s="280"/>
      <c r="G9" s="281"/>
      <c r="H9" s="282"/>
      <c r="J9" s="42" t="s">
        <v>305</v>
      </c>
      <c r="K9" s="113">
        <f>G16</f>
        <v>9.2342342342342343E-2</v>
      </c>
      <c r="L9" s="113">
        <f>G38</f>
        <v>5.2000000000000005E-2</v>
      </c>
      <c r="M9" s="113">
        <f>SUM(G63)</f>
        <v>5.2000000000000005E-2</v>
      </c>
      <c r="N9" s="113"/>
      <c r="O9" s="113"/>
    </row>
    <row r="10" spans="1:16">
      <c r="A10" s="19" t="s">
        <v>297</v>
      </c>
      <c r="B10" s="20">
        <v>15000</v>
      </c>
      <c r="C10" s="296">
        <v>1</v>
      </c>
      <c r="D10" s="278">
        <f>C10/B10</f>
        <v>6.666666666666667E-5</v>
      </c>
      <c r="E10" s="20" t="s">
        <v>319</v>
      </c>
      <c r="F10" s="268">
        <v>500</v>
      </c>
      <c r="G10" s="283">
        <f>F10*$D10</f>
        <v>3.3333333333333333E-2</v>
      </c>
      <c r="H10" s="279">
        <f>G10/G$20</f>
        <v>6.7933535297897737E-2</v>
      </c>
      <c r="J10" s="42" t="s">
        <v>303</v>
      </c>
      <c r="K10" s="106">
        <f>G18</f>
        <v>-0.02</v>
      </c>
      <c r="L10" s="106">
        <f>G40</f>
        <v>-1.3333333333333332E-2</v>
      </c>
      <c r="M10" s="106">
        <f>G65</f>
        <v>0</v>
      </c>
      <c r="N10" s="106"/>
      <c r="O10" s="106"/>
    </row>
    <row r="11" spans="1:16">
      <c r="A11" s="19" t="s">
        <v>327</v>
      </c>
      <c r="B11" s="20">
        <f>B4/B3</f>
        <v>15000</v>
      </c>
      <c r="C11" s="296">
        <v>1</v>
      </c>
      <c r="D11" s="278">
        <f>C11/B11</f>
        <v>6.666666666666667E-5</v>
      </c>
      <c r="E11" s="20" t="s">
        <v>319</v>
      </c>
      <c r="F11" s="268">
        <v>200</v>
      </c>
      <c r="G11" s="283">
        <f>F11*$D11</f>
        <v>1.3333333333333334E-2</v>
      </c>
      <c r="H11" s="279">
        <f>G11/G$20</f>
        <v>2.7173414119159099E-2</v>
      </c>
      <c r="J11" s="19" t="s">
        <v>6</v>
      </c>
      <c r="K11" s="268">
        <f>SUM(K6:K10)</f>
        <v>0.4906756756756756</v>
      </c>
      <c r="L11" s="268">
        <f>SUM(L6:L10)</f>
        <v>0.40088888888888891</v>
      </c>
      <c r="M11" s="268">
        <f>SUM(M6:M10)</f>
        <v>0.45644444444444443</v>
      </c>
      <c r="N11" s="268"/>
      <c r="O11" s="268"/>
    </row>
    <row r="12" spans="1:16">
      <c r="A12" s="273" t="s">
        <v>306</v>
      </c>
      <c r="B12" s="274" t="s">
        <v>316</v>
      </c>
      <c r="C12" s="297"/>
      <c r="D12" s="274" t="s">
        <v>269</v>
      </c>
      <c r="E12" s="280"/>
      <c r="F12" s="280"/>
      <c r="G12" s="281"/>
      <c r="H12" s="282"/>
    </row>
    <row r="13" spans="1:16">
      <c r="A13" s="19" t="s">
        <v>299</v>
      </c>
      <c r="B13" s="284">
        <v>10000</v>
      </c>
      <c r="C13" s="296">
        <v>1</v>
      </c>
      <c r="D13" s="278">
        <f t="shared" ref="D13:D14" si="0">C13/B13</f>
        <v>1E-4</v>
      </c>
      <c r="E13" s="20" t="s">
        <v>319</v>
      </c>
      <c r="F13" s="268">
        <v>750</v>
      </c>
      <c r="G13" s="283">
        <f>F13*$D13</f>
        <v>7.4999999999999997E-2</v>
      </c>
      <c r="H13" s="279">
        <f>G13/G$20</f>
        <v>0.15285045442026993</v>
      </c>
    </row>
    <row r="14" spans="1:16">
      <c r="A14" s="19" t="s">
        <v>311</v>
      </c>
      <c r="B14" s="20">
        <v>20000</v>
      </c>
      <c r="C14" s="296">
        <v>4</v>
      </c>
      <c r="D14" s="278">
        <f t="shared" si="0"/>
        <v>2.0000000000000001E-4</v>
      </c>
      <c r="E14" s="20" t="s">
        <v>319</v>
      </c>
      <c r="F14" s="268">
        <v>150</v>
      </c>
      <c r="G14" s="283">
        <f>F14*$D14</f>
        <v>3.0000000000000002E-2</v>
      </c>
      <c r="H14" s="279">
        <f>G14/G$20</f>
        <v>6.1140181768107975E-2</v>
      </c>
      <c r="J14" s="3"/>
    </row>
    <row r="15" spans="1:16">
      <c r="A15" s="273" t="s">
        <v>305</v>
      </c>
      <c r="B15" s="274" t="s">
        <v>326</v>
      </c>
      <c r="C15" s="275" t="s">
        <v>268</v>
      </c>
      <c r="D15" s="274" t="s">
        <v>269</v>
      </c>
      <c r="E15" s="280"/>
      <c r="F15" s="280"/>
      <c r="G15" s="281"/>
      <c r="H15" s="282"/>
    </row>
    <row r="16" spans="1:16">
      <c r="A16" s="19" t="s">
        <v>178</v>
      </c>
      <c r="B16" s="20">
        <v>1</v>
      </c>
      <c r="C16" s="298">
        <f>1/22.2</f>
        <v>4.504504504504505E-2</v>
      </c>
      <c r="D16" s="286">
        <f>C16/B16</f>
        <v>4.504504504504505E-2</v>
      </c>
      <c r="E16" s="20" t="s">
        <v>300</v>
      </c>
      <c r="F16" s="268">
        <v>2.0499999999999998</v>
      </c>
      <c r="G16" s="283">
        <f>F16*$D16</f>
        <v>9.2342342342342343E-2</v>
      </c>
      <c r="H16" s="279">
        <f>G16/G$20</f>
        <v>0.18819425319012212</v>
      </c>
    </row>
    <row r="17" spans="1:15">
      <c r="A17" s="273" t="s">
        <v>304</v>
      </c>
      <c r="B17" s="274"/>
      <c r="C17" s="275" t="s">
        <v>267</v>
      </c>
      <c r="D17" s="274" t="s">
        <v>269</v>
      </c>
      <c r="E17" s="280"/>
      <c r="F17" s="280"/>
      <c r="G17" s="281"/>
      <c r="H17" s="282"/>
    </row>
    <row r="18" spans="1:15">
      <c r="A18" s="19" t="s">
        <v>293</v>
      </c>
      <c r="B18" s="20">
        <f>$B$4</f>
        <v>150000</v>
      </c>
      <c r="C18" s="268">
        <v>-1</v>
      </c>
      <c r="D18" s="278">
        <f>C18/B18</f>
        <v>-6.6666666666666666E-6</v>
      </c>
      <c r="E18" s="20" t="s">
        <v>319</v>
      </c>
      <c r="F18" s="287">
        <v>3000</v>
      </c>
      <c r="G18" s="278">
        <f>F18*$D18</f>
        <v>-0.02</v>
      </c>
      <c r="H18" s="288">
        <f>G18/G$20</f>
        <v>-4.0760121178738645E-2</v>
      </c>
    </row>
    <row r="19" spans="1:15">
      <c r="A19" s="273" t="s">
        <v>6</v>
      </c>
      <c r="B19" s="274"/>
      <c r="C19" s="275"/>
      <c r="D19" s="274" t="s">
        <v>269</v>
      </c>
      <c r="E19" s="280"/>
      <c r="F19" s="280"/>
      <c r="G19" s="281"/>
      <c r="H19" s="282"/>
    </row>
    <row r="20" spans="1:15">
      <c r="A20" s="19" t="s">
        <v>6</v>
      </c>
      <c r="B20" s="20"/>
      <c r="C20" s="268" t="s">
        <v>13</v>
      </c>
      <c r="D20" s="20"/>
      <c r="E20" s="289" t="s">
        <v>13</v>
      </c>
      <c r="F20" s="20"/>
      <c r="G20" s="290">
        <f>SUM(G7:G18)</f>
        <v>0.4906756756756756</v>
      </c>
      <c r="H20" s="279">
        <f>G20/G$20</f>
        <v>1</v>
      </c>
    </row>
    <row r="21" spans="1:15">
      <c r="A21" s="19"/>
      <c r="B21" s="20"/>
      <c r="C21" s="268"/>
      <c r="D21" s="20"/>
      <c r="E21" s="289"/>
      <c r="F21" s="20"/>
      <c r="G21" s="283"/>
      <c r="H21" s="279">
        <f>SUM(H7:H17)</f>
        <v>1.0407601211787387</v>
      </c>
    </row>
    <row r="22" spans="1:15">
      <c r="A22" s="291"/>
      <c r="B22" s="292"/>
      <c r="C22" s="293"/>
      <c r="D22" s="292"/>
      <c r="E22" s="292"/>
      <c r="F22" s="292"/>
      <c r="G22" s="294"/>
      <c r="H22" s="295"/>
      <c r="K22" s="39"/>
      <c r="L22" s="39"/>
      <c r="M22" s="39"/>
      <c r="N22" s="39"/>
      <c r="O22" s="39"/>
    </row>
    <row r="23" spans="1:15">
      <c r="K23" s="39"/>
      <c r="L23" s="39"/>
      <c r="M23" s="39"/>
      <c r="N23" s="39"/>
      <c r="O23" s="39"/>
    </row>
    <row r="25" spans="1:15">
      <c r="A25" s="19" t="s">
        <v>308</v>
      </c>
      <c r="B25" s="20">
        <v>10</v>
      </c>
      <c r="C25" s="19"/>
      <c r="D25" s="19"/>
      <c r="E25" s="19"/>
      <c r="F25" s="19"/>
      <c r="G25" s="269"/>
      <c r="H25" s="270"/>
    </row>
    <row r="26" spans="1:15">
      <c r="A26" s="19" t="s">
        <v>265</v>
      </c>
      <c r="B26" s="20">
        <v>225000</v>
      </c>
      <c r="C26" s="19"/>
      <c r="D26" s="19"/>
      <c r="E26" s="19"/>
      <c r="F26" s="19" t="s">
        <v>312</v>
      </c>
      <c r="G26" s="269"/>
      <c r="H26" s="270"/>
    </row>
    <row r="27" spans="1:15" ht="60">
      <c r="A27" s="48" t="s">
        <v>322</v>
      </c>
      <c r="B27" s="265"/>
      <c r="C27" s="265" t="s">
        <v>264</v>
      </c>
      <c r="D27" s="48" t="s">
        <v>15</v>
      </c>
      <c r="E27" s="265" t="s">
        <v>0</v>
      </c>
      <c r="F27" s="48" t="s">
        <v>294</v>
      </c>
      <c r="G27" s="271" t="s">
        <v>314</v>
      </c>
      <c r="H27" s="272" t="s">
        <v>313</v>
      </c>
    </row>
    <row r="28" spans="1:15">
      <c r="A28" s="273" t="s">
        <v>301</v>
      </c>
      <c r="B28" s="274" t="s">
        <v>309</v>
      </c>
      <c r="C28" s="275" t="s">
        <v>267</v>
      </c>
      <c r="D28" s="274" t="s">
        <v>269</v>
      </c>
      <c r="E28" s="273"/>
      <c r="F28" s="273"/>
      <c r="G28" s="276"/>
      <c r="H28" s="277"/>
    </row>
    <row r="29" spans="1:15">
      <c r="A29" s="19" t="s">
        <v>293</v>
      </c>
      <c r="B29" s="20">
        <f>$B$26</f>
        <v>225000</v>
      </c>
      <c r="C29" s="20">
        <v>1</v>
      </c>
      <c r="D29" s="278">
        <f>C29/B29</f>
        <v>4.4444444444444441E-6</v>
      </c>
      <c r="E29" s="278" t="s">
        <v>319</v>
      </c>
      <c r="F29" s="268">
        <v>60000</v>
      </c>
      <c r="G29" s="278">
        <f>F29*D29</f>
        <v>0.26666666666666666</v>
      </c>
      <c r="H29" s="279">
        <f>G29/G$42</f>
        <v>0.66518847006651882</v>
      </c>
    </row>
    <row r="30" spans="1:15">
      <c r="A30" s="19" t="s">
        <v>296</v>
      </c>
      <c r="B30" s="20">
        <f>$B$26</f>
        <v>225000</v>
      </c>
      <c r="C30" s="20">
        <v>1</v>
      </c>
      <c r="D30" s="278">
        <f>C30/B30</f>
        <v>4.4444444444444441E-6</v>
      </c>
      <c r="E30" s="278" t="s">
        <v>319</v>
      </c>
      <c r="F30" s="268"/>
      <c r="G30" s="278">
        <f>F30*D30</f>
        <v>0</v>
      </c>
      <c r="H30" s="279">
        <f>G30/G$42</f>
        <v>0</v>
      </c>
    </row>
    <row r="31" spans="1:15">
      <c r="A31" s="273" t="s">
        <v>302</v>
      </c>
      <c r="B31" s="274"/>
      <c r="C31" s="275" t="s">
        <v>315</v>
      </c>
      <c r="D31" s="274" t="s">
        <v>269</v>
      </c>
      <c r="E31" s="280"/>
      <c r="F31" s="280"/>
      <c r="G31" s="281"/>
      <c r="H31" s="282"/>
    </row>
    <row r="32" spans="1:15">
      <c r="A32" s="19" t="s">
        <v>297</v>
      </c>
      <c r="B32" s="20">
        <v>22500</v>
      </c>
      <c r="C32" s="268">
        <v>1</v>
      </c>
      <c r="D32" s="278">
        <f>C32/B32</f>
        <v>4.4444444444444447E-5</v>
      </c>
      <c r="E32" s="20" t="s">
        <v>319</v>
      </c>
      <c r="F32" s="268">
        <v>700</v>
      </c>
      <c r="G32" s="283">
        <f>F32*$D32</f>
        <v>3.1111111111111114E-2</v>
      </c>
      <c r="H32" s="279">
        <f>G32/G$42</f>
        <v>7.7605321507760533E-2</v>
      </c>
    </row>
    <row r="33" spans="1:8">
      <c r="A33" s="19" t="s">
        <v>298</v>
      </c>
      <c r="B33" s="20">
        <v>22500</v>
      </c>
      <c r="C33" s="268">
        <v>1</v>
      </c>
      <c r="D33" s="278">
        <f>C33/B33</f>
        <v>4.4444444444444447E-5</v>
      </c>
      <c r="E33" s="20" t="s">
        <v>319</v>
      </c>
      <c r="F33" s="268">
        <v>100</v>
      </c>
      <c r="G33" s="283">
        <f>F33*$D33</f>
        <v>4.4444444444444444E-3</v>
      </c>
      <c r="H33" s="279">
        <f>G33/G$42</f>
        <v>1.1086474501108647E-2</v>
      </c>
    </row>
    <row r="34" spans="1:8">
      <c r="A34" s="273" t="s">
        <v>307</v>
      </c>
      <c r="B34" s="274"/>
      <c r="C34" s="275"/>
      <c r="D34" s="274" t="s">
        <v>269</v>
      </c>
      <c r="E34" s="280"/>
      <c r="F34" s="280"/>
      <c r="G34" s="281"/>
      <c r="H34" s="282"/>
    </row>
    <row r="35" spans="1:8">
      <c r="A35" s="19" t="s">
        <v>299</v>
      </c>
      <c r="B35" s="284">
        <v>10000</v>
      </c>
      <c r="C35" s="268">
        <v>1</v>
      </c>
      <c r="D35" s="278">
        <f>C35/B35</f>
        <v>1E-4</v>
      </c>
      <c r="E35" s="20" t="s">
        <v>319</v>
      </c>
      <c r="F35" s="268">
        <v>300</v>
      </c>
      <c r="G35" s="283">
        <f>F35*$D35</f>
        <v>3.0000000000000002E-2</v>
      </c>
      <c r="H35" s="279">
        <f>G35/G$42</f>
        <v>7.4833702882483366E-2</v>
      </c>
    </row>
    <row r="36" spans="1:8">
      <c r="A36" s="19" t="s">
        <v>311</v>
      </c>
      <c r="B36" s="20">
        <v>20000</v>
      </c>
      <c r="C36" s="268">
        <v>4</v>
      </c>
      <c r="D36" s="278">
        <f>C36/B36</f>
        <v>2.0000000000000001E-4</v>
      </c>
      <c r="E36" s="20" t="s">
        <v>319</v>
      </c>
      <c r="F36" s="268">
        <v>150</v>
      </c>
      <c r="G36" s="283">
        <f>F36*$D36</f>
        <v>3.0000000000000002E-2</v>
      </c>
      <c r="H36" s="279">
        <f>G36/G$42</f>
        <v>7.4833702882483366E-2</v>
      </c>
    </row>
    <row r="37" spans="1:8">
      <c r="A37" s="273" t="s">
        <v>305</v>
      </c>
      <c r="B37" s="274"/>
      <c r="C37" s="275" t="s">
        <v>268</v>
      </c>
      <c r="D37" s="274" t="s">
        <v>269</v>
      </c>
      <c r="E37" s="280"/>
      <c r="F37" s="280"/>
      <c r="G37" s="281"/>
      <c r="H37" s="282"/>
    </row>
    <row r="38" spans="1:8">
      <c r="A38" s="19" t="s">
        <v>320</v>
      </c>
      <c r="B38" s="20">
        <v>1</v>
      </c>
      <c r="C38" s="285">
        <v>0.26</v>
      </c>
      <c r="D38" s="286">
        <f>C38/B38</f>
        <v>0.26</v>
      </c>
      <c r="E38" s="20" t="s">
        <v>2</v>
      </c>
      <c r="F38" s="285">
        <v>0.2</v>
      </c>
      <c r="G38" s="283">
        <f>F38*$D38</f>
        <v>5.2000000000000005E-2</v>
      </c>
      <c r="H38" s="279">
        <f>G38/G$42</f>
        <v>0.12971175166297119</v>
      </c>
    </row>
    <row r="39" spans="1:8">
      <c r="A39" s="273" t="s">
        <v>304</v>
      </c>
      <c r="B39" s="274"/>
      <c r="C39" s="275" t="s">
        <v>267</v>
      </c>
      <c r="D39" s="274" t="s">
        <v>269</v>
      </c>
      <c r="E39" s="280"/>
      <c r="F39" s="280"/>
      <c r="G39" s="281"/>
      <c r="H39" s="282"/>
    </row>
    <row r="40" spans="1:8">
      <c r="A40" s="19" t="s">
        <v>293</v>
      </c>
      <c r="B40" s="20">
        <f>$B$26</f>
        <v>225000</v>
      </c>
      <c r="C40" s="268">
        <v>-1</v>
      </c>
      <c r="D40" s="278">
        <f>C40/B40</f>
        <v>-4.4444444444444441E-6</v>
      </c>
      <c r="E40" s="20" t="s">
        <v>319</v>
      </c>
      <c r="F40" s="287">
        <v>3000</v>
      </c>
      <c r="G40" s="278">
        <f>F40*$D40</f>
        <v>-1.3333333333333332E-2</v>
      </c>
      <c r="H40" s="288">
        <f>G40/G$42</f>
        <v>-3.325942350332594E-2</v>
      </c>
    </row>
    <row r="41" spans="1:8">
      <c r="A41" s="273" t="s">
        <v>6</v>
      </c>
      <c r="B41" s="274"/>
      <c r="C41" s="275"/>
      <c r="D41" s="274" t="s">
        <v>269</v>
      </c>
      <c r="E41" s="280"/>
      <c r="F41" s="280"/>
      <c r="G41" s="281"/>
      <c r="H41" s="282"/>
    </row>
    <row r="42" spans="1:8" ht="47.5" customHeight="1">
      <c r="A42" s="19" t="s">
        <v>6</v>
      </c>
      <c r="B42" s="20"/>
      <c r="C42" s="268" t="s">
        <v>13</v>
      </c>
      <c r="D42" s="20"/>
      <c r="E42" s="289" t="s">
        <v>13</v>
      </c>
      <c r="F42" s="20"/>
      <c r="G42" s="290">
        <f>SUM(G29:G40)</f>
        <v>0.40088888888888891</v>
      </c>
      <c r="H42" s="279">
        <f>G42/G$42</f>
        <v>1</v>
      </c>
    </row>
    <row r="43" spans="1:8">
      <c r="A43" s="19"/>
      <c r="B43" s="20"/>
      <c r="C43" s="268"/>
      <c r="D43" s="20"/>
      <c r="E43" s="289"/>
      <c r="F43" s="20"/>
      <c r="G43" s="283"/>
      <c r="H43" s="279">
        <f>SUM(H29:H39)</f>
        <v>1.0332594235033259</v>
      </c>
    </row>
    <row r="44" spans="1:8">
      <c r="A44" s="291"/>
      <c r="B44" s="292"/>
      <c r="C44" s="293"/>
      <c r="D44" s="292"/>
      <c r="E44" s="292"/>
      <c r="F44" s="292"/>
      <c r="G44" s="294"/>
      <c r="H44" s="295"/>
    </row>
    <row r="45" spans="1:8">
      <c r="C45" s="1"/>
      <c r="G45" s="1"/>
    </row>
    <row r="46" spans="1:8">
      <c r="C46" s="1"/>
      <c r="G46" s="1"/>
    </row>
    <row r="47" spans="1:8">
      <c r="A47" s="22"/>
      <c r="C47" s="1"/>
      <c r="G47" s="1"/>
    </row>
    <row r="48" spans="1:8">
      <c r="C48" s="1"/>
      <c r="G48" s="1"/>
    </row>
    <row r="49" spans="1:8">
      <c r="A49" s="19" t="s">
        <v>308</v>
      </c>
      <c r="B49" s="20">
        <v>10</v>
      </c>
      <c r="C49" s="19"/>
      <c r="D49" s="19"/>
      <c r="E49" s="19"/>
      <c r="F49" s="19"/>
      <c r="G49" s="269"/>
      <c r="H49" s="270"/>
    </row>
    <row r="50" spans="1:8">
      <c r="A50" s="19" t="s">
        <v>265</v>
      </c>
      <c r="B50" s="20">
        <v>225000</v>
      </c>
      <c r="C50" s="19"/>
      <c r="D50" s="19"/>
      <c r="E50" s="19"/>
      <c r="F50" s="19" t="s">
        <v>312</v>
      </c>
      <c r="G50" s="269"/>
      <c r="H50" s="270"/>
    </row>
    <row r="51" spans="1:8" ht="60">
      <c r="A51" s="48" t="s">
        <v>321</v>
      </c>
      <c r="B51" s="265"/>
      <c r="C51" s="265" t="s">
        <v>264</v>
      </c>
      <c r="D51" s="48" t="s">
        <v>15</v>
      </c>
      <c r="E51" s="265" t="s">
        <v>0</v>
      </c>
      <c r="F51" s="48" t="s">
        <v>294</v>
      </c>
      <c r="G51" s="271" t="s">
        <v>314</v>
      </c>
      <c r="H51" s="272" t="s">
        <v>313</v>
      </c>
    </row>
    <row r="52" spans="1:8">
      <c r="A52" s="273" t="s">
        <v>301</v>
      </c>
      <c r="B52" s="274" t="s">
        <v>309</v>
      </c>
      <c r="C52" s="275" t="s">
        <v>267</v>
      </c>
      <c r="D52" s="274" t="s">
        <v>269</v>
      </c>
      <c r="E52" s="273"/>
      <c r="F52" s="273"/>
      <c r="G52" s="276"/>
      <c r="H52" s="277"/>
    </row>
    <row r="53" spans="1:8">
      <c r="A53" s="19" t="s">
        <v>324</v>
      </c>
      <c r="B53" s="20">
        <f>B$50</f>
        <v>225000</v>
      </c>
      <c r="C53" s="20">
        <v>1</v>
      </c>
      <c r="D53" s="278">
        <f>C53/B53</f>
        <v>4.4444444444444441E-6</v>
      </c>
      <c r="E53" s="278" t="s">
        <v>319</v>
      </c>
      <c r="F53" s="268">
        <v>2000</v>
      </c>
      <c r="G53" s="278">
        <f>F53*D53</f>
        <v>8.8888888888888889E-3</v>
      </c>
      <c r="H53" s="279">
        <f>G53/G$67</f>
        <v>1.9474196689386564E-2</v>
      </c>
    </row>
    <row r="54" spans="1:8">
      <c r="A54" s="19" t="s">
        <v>296</v>
      </c>
      <c r="B54" s="20">
        <f>B$50</f>
        <v>225000</v>
      </c>
      <c r="C54" s="20">
        <v>1</v>
      </c>
      <c r="D54" s="278">
        <f>C54/B54</f>
        <v>4.4444444444444441E-6</v>
      </c>
      <c r="E54" s="278" t="s">
        <v>319</v>
      </c>
      <c r="F54" s="268">
        <v>0</v>
      </c>
      <c r="G54" s="278">
        <f>F54*D54</f>
        <v>0</v>
      </c>
      <c r="H54" s="279">
        <f>G54/G$67</f>
        <v>0</v>
      </c>
    </row>
    <row r="55" spans="1:8">
      <c r="A55" s="273" t="s">
        <v>302</v>
      </c>
      <c r="B55" s="274"/>
      <c r="C55" s="275" t="s">
        <v>315</v>
      </c>
      <c r="D55" s="274" t="s">
        <v>269</v>
      </c>
      <c r="E55" s="280"/>
      <c r="F55" s="280"/>
      <c r="G55" s="281"/>
      <c r="H55" s="282"/>
    </row>
    <row r="56" spans="1:8">
      <c r="A56" s="19" t="s">
        <v>297</v>
      </c>
      <c r="B56" s="20">
        <v>22500</v>
      </c>
      <c r="C56" s="268">
        <v>1</v>
      </c>
      <c r="D56" s="278">
        <f>C56/B56</f>
        <v>4.4444444444444447E-5</v>
      </c>
      <c r="E56" s="20" t="s">
        <v>319</v>
      </c>
      <c r="F56" s="268">
        <v>0</v>
      </c>
      <c r="G56" s="283">
        <f>F56*$D56</f>
        <v>0</v>
      </c>
      <c r="H56" s="279">
        <f>G56/G$67</f>
        <v>0</v>
      </c>
    </row>
    <row r="57" spans="1:8">
      <c r="A57" s="19" t="s">
        <v>298</v>
      </c>
      <c r="B57" s="20">
        <v>22500</v>
      </c>
      <c r="C57" s="268">
        <v>1</v>
      </c>
      <c r="D57" s="278">
        <f>C57/B57</f>
        <v>4.4444444444444447E-5</v>
      </c>
      <c r="E57" s="20" t="s">
        <v>319</v>
      </c>
      <c r="F57" s="268">
        <v>100</v>
      </c>
      <c r="G57" s="283">
        <f>F57*$D57</f>
        <v>4.4444444444444444E-3</v>
      </c>
      <c r="H57" s="279">
        <f>G57/G$67</f>
        <v>9.7370983446932822E-3</v>
      </c>
    </row>
    <row r="58" spans="1:8">
      <c r="A58" s="299" t="s">
        <v>323</v>
      </c>
      <c r="B58" s="285">
        <v>22500</v>
      </c>
      <c r="C58" s="300">
        <v>1</v>
      </c>
      <c r="D58" s="286">
        <f>C58/B58</f>
        <v>4.4444444444444447E-5</v>
      </c>
      <c r="E58" s="285" t="s">
        <v>319</v>
      </c>
      <c r="F58" s="300">
        <v>8800</v>
      </c>
      <c r="G58" s="301">
        <f>F58*$D58</f>
        <v>0.39111111111111113</v>
      </c>
      <c r="H58" s="302">
        <f>G58/G$67</f>
        <v>0.85686465433300885</v>
      </c>
    </row>
    <row r="59" spans="1:8">
      <c r="A59" s="273" t="s">
        <v>307</v>
      </c>
      <c r="B59" s="274"/>
      <c r="C59" s="275"/>
      <c r="D59" s="274" t="s">
        <v>269</v>
      </c>
      <c r="E59" s="280"/>
      <c r="F59" s="280"/>
      <c r="G59" s="281"/>
      <c r="H59" s="282"/>
    </row>
    <row r="60" spans="1:8">
      <c r="A60" s="19" t="s">
        <v>299</v>
      </c>
      <c r="B60" s="284">
        <v>10000</v>
      </c>
      <c r="C60" s="268">
        <v>1</v>
      </c>
      <c r="D60" s="278">
        <f>C60/B60</f>
        <v>1E-4</v>
      </c>
      <c r="E60" s="20" t="s">
        <v>319</v>
      </c>
      <c r="F60" s="268">
        <v>0</v>
      </c>
      <c r="G60" s="283">
        <f>F60*$D60</f>
        <v>0</v>
      </c>
      <c r="H60" s="279">
        <f>G60/G$67</f>
        <v>0</v>
      </c>
    </row>
    <row r="61" spans="1:8">
      <c r="A61" s="19" t="s">
        <v>311</v>
      </c>
      <c r="B61" s="20">
        <v>20000</v>
      </c>
      <c r="C61" s="268">
        <v>4</v>
      </c>
      <c r="D61" s="278">
        <f>C61/B61</f>
        <v>2.0000000000000001E-4</v>
      </c>
      <c r="E61" s="20" t="s">
        <v>319</v>
      </c>
      <c r="F61" s="268">
        <v>0</v>
      </c>
      <c r="G61" s="283">
        <f>F61*$D61</f>
        <v>0</v>
      </c>
      <c r="H61" s="279">
        <f>G61/G$67</f>
        <v>0</v>
      </c>
    </row>
    <row r="62" spans="1:8">
      <c r="A62" s="273" t="s">
        <v>305</v>
      </c>
      <c r="B62" s="274"/>
      <c r="C62" s="275" t="s">
        <v>268</v>
      </c>
      <c r="D62" s="274" t="s">
        <v>269</v>
      </c>
      <c r="E62" s="280"/>
      <c r="F62" s="280"/>
      <c r="G62" s="281"/>
      <c r="H62" s="282"/>
    </row>
    <row r="63" spans="1:8">
      <c r="A63" s="19" t="s">
        <v>320</v>
      </c>
      <c r="B63" s="20">
        <v>1</v>
      </c>
      <c r="C63" s="285">
        <v>0.26</v>
      </c>
      <c r="D63" s="286">
        <f>C63</f>
        <v>0.26</v>
      </c>
      <c r="E63" s="20" t="s">
        <v>2</v>
      </c>
      <c r="F63" s="286">
        <v>0.2</v>
      </c>
      <c r="G63" s="283">
        <f>F63*$D63</f>
        <v>5.2000000000000005E-2</v>
      </c>
      <c r="H63" s="279">
        <f>G63/G$67</f>
        <v>0.1139240506329114</v>
      </c>
    </row>
    <row r="64" spans="1:8">
      <c r="A64" s="273" t="s">
        <v>304</v>
      </c>
      <c r="B64" s="274"/>
      <c r="C64" s="275" t="s">
        <v>267</v>
      </c>
      <c r="D64" s="274" t="s">
        <v>269</v>
      </c>
      <c r="E64" s="280"/>
      <c r="F64" s="280"/>
      <c r="G64" s="281"/>
      <c r="H64" s="282"/>
    </row>
    <row r="65" spans="1:8">
      <c r="A65" s="19" t="s">
        <v>293</v>
      </c>
      <c r="B65" s="20">
        <f>$B$26</f>
        <v>225000</v>
      </c>
      <c r="C65" s="268">
        <v>-1</v>
      </c>
      <c r="D65" s="278">
        <f>C65/B65</f>
        <v>-4.4444444444444441E-6</v>
      </c>
      <c r="E65" s="20" t="s">
        <v>319</v>
      </c>
      <c r="F65" s="287"/>
      <c r="G65" s="278">
        <f>F65*$D65</f>
        <v>0</v>
      </c>
      <c r="H65" s="279">
        <f>G65/G$67</f>
        <v>0</v>
      </c>
    </row>
    <row r="66" spans="1:8">
      <c r="A66" s="273" t="s">
        <v>6</v>
      </c>
      <c r="B66" s="274"/>
      <c r="C66" s="275"/>
      <c r="D66" s="274" t="s">
        <v>269</v>
      </c>
      <c r="E66" s="280"/>
      <c r="F66" s="280"/>
      <c r="G66" s="281"/>
      <c r="H66" s="282"/>
    </row>
    <row r="67" spans="1:8">
      <c r="A67" s="19" t="s">
        <v>6</v>
      </c>
      <c r="B67" s="20"/>
      <c r="C67" s="268" t="s">
        <v>13</v>
      </c>
      <c r="D67" s="20"/>
      <c r="E67" s="289" t="s">
        <v>13</v>
      </c>
      <c r="F67" s="20"/>
      <c r="G67" s="290">
        <f>SUM(G53:G65)</f>
        <v>0.45644444444444443</v>
      </c>
      <c r="H67" s="279">
        <f>G67/G$67</f>
        <v>1</v>
      </c>
    </row>
    <row r="68" spans="1:8">
      <c r="A68" s="19"/>
      <c r="B68" s="20"/>
      <c r="C68" s="268"/>
      <c r="D68" s="20"/>
      <c r="E68" s="289"/>
      <c r="F68" s="20"/>
      <c r="G68" s="283"/>
      <c r="H68" s="279"/>
    </row>
    <row r="69" spans="1:8">
      <c r="C69" s="1"/>
      <c r="G69" s="1"/>
    </row>
    <row r="70" spans="1:8">
      <c r="C70" s="1"/>
      <c r="G70" s="1"/>
    </row>
    <row r="71" spans="1:8" ht="19.75" customHeight="1">
      <c r="C71" s="1"/>
      <c r="G71" s="1"/>
    </row>
    <row r="72" spans="1:8" ht="19.75" customHeight="1">
      <c r="C72" s="1"/>
      <c r="G72" s="1"/>
    </row>
    <row r="73" spans="1:8" ht="19.75" customHeight="1">
      <c r="C73" s="1"/>
      <c r="G73" s="1"/>
    </row>
    <row r="74" spans="1:8" ht="19.75" customHeight="1">
      <c r="C74" s="1"/>
      <c r="G74" s="1"/>
    </row>
    <row r="75" spans="1:8" ht="39.65" customHeight="1">
      <c r="C75" s="1"/>
      <c r="G75" s="1"/>
    </row>
    <row r="76" spans="1:8">
      <c r="C76" s="1"/>
      <c r="G76" s="1"/>
    </row>
    <row r="77" spans="1:8">
      <c r="C77" s="1"/>
      <c r="G77" s="1"/>
    </row>
    <row r="78" spans="1:8">
      <c r="C78" s="1"/>
      <c r="G78" s="1"/>
    </row>
    <row r="79" spans="1:8">
      <c r="C79" s="1"/>
      <c r="G79" s="1"/>
    </row>
    <row r="80" spans="1:8">
      <c r="C80" s="1"/>
      <c r="G80" s="1"/>
    </row>
    <row r="81" spans="3:7">
      <c r="C81" s="1"/>
      <c r="G81" s="1"/>
    </row>
    <row r="82" spans="3:7">
      <c r="C82" s="1"/>
      <c r="G82" s="1"/>
    </row>
    <row r="83" spans="3:7">
      <c r="C83" s="1"/>
      <c r="G83"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2"/>
  <sheetViews>
    <sheetView zoomScale="85" zoomScaleNormal="85" workbookViewId="0">
      <selection activeCell="H15" sqref="H15"/>
    </sheetView>
  </sheetViews>
  <sheetFormatPr defaultColWidth="8.81640625" defaultRowHeight="14.5"/>
  <cols>
    <col min="2" max="2" width="46.7265625" customWidth="1"/>
    <col min="4" max="4" width="47" customWidth="1"/>
    <col min="5" max="5" width="14.7265625" customWidth="1"/>
    <col min="6" max="6" width="13.453125" customWidth="1"/>
    <col min="7" max="7" width="11.453125" customWidth="1"/>
    <col min="8" max="8" width="14.1796875" customWidth="1"/>
    <col min="9" max="9" width="13.7265625" customWidth="1"/>
    <col min="11" max="11" width="14.1796875" customWidth="1"/>
    <col min="12" max="12" width="20.453125" customWidth="1"/>
  </cols>
  <sheetData>
    <row r="1" spans="1:16" ht="72.5">
      <c r="A1" s="30"/>
      <c r="B1" t="s">
        <v>49</v>
      </c>
      <c r="C1">
        <v>1000</v>
      </c>
      <c r="D1" s="30" t="s">
        <v>12</v>
      </c>
      <c r="E1" s="30"/>
      <c r="F1" s="31" t="s">
        <v>23</v>
      </c>
      <c r="G1" s="32" t="s">
        <v>24</v>
      </c>
      <c r="H1" s="33" t="s">
        <v>25</v>
      </c>
      <c r="I1" s="34" t="s">
        <v>26</v>
      </c>
      <c r="J1" s="31" t="s">
        <v>27</v>
      </c>
      <c r="K1" s="33"/>
      <c r="L1" s="33"/>
    </row>
    <row r="2" spans="1:16" ht="63.65" customHeight="1">
      <c r="A2" s="30"/>
      <c r="B2" s="30"/>
      <c r="C2" s="30"/>
      <c r="D2" s="30"/>
      <c r="E2" s="30"/>
      <c r="F2" s="31" t="s">
        <v>28</v>
      </c>
      <c r="G2" s="32" t="s">
        <v>29</v>
      </c>
      <c r="H2" s="33" t="s">
        <v>30</v>
      </c>
      <c r="I2" s="34" t="s">
        <v>31</v>
      </c>
      <c r="J2" s="31" t="s">
        <v>32</v>
      </c>
      <c r="K2" s="33" t="s">
        <v>33</v>
      </c>
      <c r="L2" s="33" t="s">
        <v>34</v>
      </c>
    </row>
    <row r="3" spans="1:16" ht="44" thickBot="1">
      <c r="A3" s="56"/>
      <c r="B3" s="56" t="s">
        <v>35</v>
      </c>
      <c r="C3" s="56" t="s">
        <v>36</v>
      </c>
      <c r="D3" s="56" t="s">
        <v>37</v>
      </c>
      <c r="E3" s="56" t="s">
        <v>38</v>
      </c>
      <c r="F3" s="56" t="s">
        <v>39</v>
      </c>
      <c r="G3" s="57" t="s">
        <v>1</v>
      </c>
      <c r="H3" s="58" t="s">
        <v>40</v>
      </c>
      <c r="I3" s="59" t="s">
        <v>41</v>
      </c>
      <c r="J3" s="60" t="s">
        <v>42</v>
      </c>
      <c r="K3" s="58" t="s">
        <v>40</v>
      </c>
      <c r="L3" s="58" t="s">
        <v>40</v>
      </c>
    </row>
    <row r="4" spans="1:16">
      <c r="A4" s="61">
        <v>258</v>
      </c>
      <c r="B4" s="62" t="s">
        <v>55</v>
      </c>
      <c r="C4" s="62" t="s">
        <v>22</v>
      </c>
      <c r="D4" s="62" t="s">
        <v>56</v>
      </c>
      <c r="E4" s="62" t="s">
        <v>1</v>
      </c>
      <c r="F4" s="62">
        <v>1</v>
      </c>
      <c r="G4" s="63">
        <v>4.8913827999999997</v>
      </c>
      <c r="H4" s="64">
        <v>61.912707699999999</v>
      </c>
      <c r="I4" s="65">
        <f t="shared" ref="I4:I48" si="0">G4/H4*$C$1</f>
        <v>79.004504595427335</v>
      </c>
      <c r="J4" s="62">
        <v>5.4372182000000002</v>
      </c>
      <c r="K4" s="64">
        <v>20.945152089</v>
      </c>
      <c r="L4" s="66">
        <f t="shared" ref="L4:L48" si="1">K4+H4</f>
        <v>82.857859789000003</v>
      </c>
      <c r="M4" t="s">
        <v>115</v>
      </c>
    </row>
    <row r="5" spans="1:16">
      <c r="A5" s="67">
        <v>470</v>
      </c>
      <c r="B5" s="50" t="s">
        <v>57</v>
      </c>
      <c r="C5" s="50" t="s">
        <v>58</v>
      </c>
      <c r="D5" s="50" t="s">
        <v>59</v>
      </c>
      <c r="E5" s="50" t="s">
        <v>1</v>
      </c>
      <c r="F5" s="50">
        <v>1</v>
      </c>
      <c r="G5" s="55">
        <v>19.248840000000001</v>
      </c>
      <c r="H5" s="52">
        <v>218.89577508170001</v>
      </c>
      <c r="I5" s="54">
        <f t="shared" si="0"/>
        <v>87.936096495309798</v>
      </c>
      <c r="J5" s="50">
        <v>20.97429</v>
      </c>
      <c r="K5" s="52">
        <v>3.510837365</v>
      </c>
      <c r="L5" s="90">
        <f t="shared" si="1"/>
        <v>222.4066124467</v>
      </c>
    </row>
    <row r="6" spans="1:16">
      <c r="A6" s="67">
        <v>2017</v>
      </c>
      <c r="B6" s="50" t="s">
        <v>60</v>
      </c>
      <c r="C6" s="50" t="s">
        <v>58</v>
      </c>
      <c r="D6" s="50" t="s">
        <v>61</v>
      </c>
      <c r="E6" s="50" t="s">
        <v>1</v>
      </c>
      <c r="F6" s="50">
        <v>1</v>
      </c>
      <c r="G6" s="55">
        <v>5.6316442999999996</v>
      </c>
      <c r="H6" s="52">
        <v>56.396523670499995</v>
      </c>
      <c r="I6" s="54">
        <f t="shared" si="0"/>
        <v>99.858004243368129</v>
      </c>
      <c r="J6" s="50">
        <v>6.0199005000000003</v>
      </c>
      <c r="K6" s="52">
        <v>4.4209443915</v>
      </c>
      <c r="L6" s="90">
        <f t="shared" si="1"/>
        <v>60.817468061999996</v>
      </c>
    </row>
    <row r="7" spans="1:16">
      <c r="A7" s="50">
        <v>2582</v>
      </c>
      <c r="B7" s="50" t="s">
        <v>282</v>
      </c>
      <c r="C7" s="50" t="s">
        <v>75</v>
      </c>
      <c r="D7" s="50" t="s">
        <v>283</v>
      </c>
      <c r="E7" s="50" t="s">
        <v>1</v>
      </c>
      <c r="F7" s="50">
        <v>1</v>
      </c>
      <c r="G7" s="55">
        <v>5.1792783</v>
      </c>
      <c r="H7" s="51">
        <v>74.579202517000013</v>
      </c>
      <c r="I7" s="53">
        <f>G7/H7*$C$1</f>
        <v>69.44668386363351</v>
      </c>
      <c r="J7" s="50">
        <v>5.8649728000000003</v>
      </c>
      <c r="K7" s="51">
        <v>21.9524964772</v>
      </c>
      <c r="L7" s="51">
        <f t="shared" si="1"/>
        <v>96.531698994200013</v>
      </c>
    </row>
    <row r="8" spans="1:16">
      <c r="A8" s="67">
        <v>6808</v>
      </c>
      <c r="B8" s="50" t="s">
        <v>63</v>
      </c>
      <c r="C8" s="50" t="s">
        <v>22</v>
      </c>
      <c r="D8" s="50" t="s">
        <v>64</v>
      </c>
      <c r="E8" s="50" t="s">
        <v>1</v>
      </c>
      <c r="F8" s="50">
        <v>1</v>
      </c>
      <c r="G8" s="55">
        <v>27.933744999999998</v>
      </c>
      <c r="H8" s="52">
        <v>448.24729435900002</v>
      </c>
      <c r="I8" s="54">
        <f t="shared" si="0"/>
        <v>62.317710227221006</v>
      </c>
      <c r="J8" s="50">
        <v>31.497869999999999</v>
      </c>
      <c r="K8" s="52">
        <v>48.643082318099999</v>
      </c>
      <c r="L8" s="90">
        <f t="shared" si="1"/>
        <v>496.89037667709999</v>
      </c>
    </row>
    <row r="9" spans="1:16">
      <c r="A9" s="67">
        <v>7031</v>
      </c>
      <c r="B9" s="50" t="s">
        <v>65</v>
      </c>
      <c r="C9" s="50" t="s">
        <v>22</v>
      </c>
      <c r="D9" s="50" t="s">
        <v>66</v>
      </c>
      <c r="E9" s="50" t="s">
        <v>1</v>
      </c>
      <c r="F9" s="50">
        <v>1</v>
      </c>
      <c r="G9" s="55">
        <v>1.1303346000000001</v>
      </c>
      <c r="H9" s="52">
        <v>66.770078626074806</v>
      </c>
      <c r="I9" s="54">
        <f t="shared" si="0"/>
        <v>16.92875945721271</v>
      </c>
      <c r="J9" s="50">
        <v>1.4535583000000001</v>
      </c>
      <c r="K9" s="52">
        <v>0.2002877311024</v>
      </c>
      <c r="L9" s="90">
        <f t="shared" si="1"/>
        <v>66.970366357177213</v>
      </c>
    </row>
    <row r="10" spans="1:16">
      <c r="A10" s="67">
        <v>7049</v>
      </c>
      <c r="B10" s="50" t="s">
        <v>67</v>
      </c>
      <c r="C10" s="50" t="s">
        <v>22</v>
      </c>
      <c r="D10" s="50" t="s">
        <v>68</v>
      </c>
      <c r="E10" s="50" t="s">
        <v>1</v>
      </c>
      <c r="F10" s="50">
        <v>1</v>
      </c>
      <c r="G10" s="55">
        <v>1.2878908</v>
      </c>
      <c r="H10" s="52">
        <v>49.878196202369999</v>
      </c>
      <c r="I10" s="54">
        <f t="shared" si="0"/>
        <v>25.820717228318792</v>
      </c>
      <c r="J10" s="50">
        <v>1.5171342000000001</v>
      </c>
      <c r="K10" s="52">
        <v>2.0183653864300002</v>
      </c>
      <c r="L10" s="90">
        <f t="shared" si="1"/>
        <v>51.896561588799997</v>
      </c>
    </row>
    <row r="11" spans="1:16">
      <c r="A11" s="67">
        <v>7381</v>
      </c>
      <c r="B11" s="50" t="s">
        <v>69</v>
      </c>
      <c r="C11" s="50" t="s">
        <v>58</v>
      </c>
      <c r="D11" s="50" t="s">
        <v>70</v>
      </c>
      <c r="E11" s="50" t="s">
        <v>1</v>
      </c>
      <c r="F11" s="50">
        <v>1</v>
      </c>
      <c r="G11" s="55">
        <v>0.95946891999999995</v>
      </c>
      <c r="H11" s="52">
        <v>11.436900889899999</v>
      </c>
      <c r="I11" s="54">
        <f t="shared" si="0"/>
        <v>83.892387390303725</v>
      </c>
      <c r="J11" s="50">
        <v>1.0141070999999999</v>
      </c>
      <c r="K11" s="52">
        <v>0.48573862666000001</v>
      </c>
      <c r="L11" s="90">
        <f t="shared" si="1"/>
        <v>11.922639516559999</v>
      </c>
    </row>
    <row r="12" spans="1:16">
      <c r="A12" s="67">
        <v>8465</v>
      </c>
      <c r="B12" s="50" t="s">
        <v>71</v>
      </c>
      <c r="C12" s="50" t="s">
        <v>58</v>
      </c>
      <c r="D12" s="50" t="s">
        <v>72</v>
      </c>
      <c r="E12" s="50" t="s">
        <v>73</v>
      </c>
      <c r="F12" s="50">
        <v>1</v>
      </c>
      <c r="G12" s="55">
        <v>3.3782061000000002E-2</v>
      </c>
      <c r="H12" s="52">
        <v>0.66634296889010003</v>
      </c>
      <c r="I12" s="54">
        <f t="shared" si="0"/>
        <v>50.697707602842101</v>
      </c>
      <c r="J12" s="50">
        <v>3.7879734999999998E-2</v>
      </c>
      <c r="K12" s="52">
        <v>1.174006707E-3</v>
      </c>
      <c r="L12" s="90">
        <f t="shared" si="1"/>
        <v>0.66751697559709999</v>
      </c>
      <c r="P12" s="206"/>
    </row>
    <row r="13" spans="1:16">
      <c r="A13" s="67">
        <v>10999</v>
      </c>
      <c r="B13" s="50" t="s">
        <v>74</v>
      </c>
      <c r="C13" s="50" t="s">
        <v>75</v>
      </c>
      <c r="D13" s="50" t="s">
        <v>76</v>
      </c>
      <c r="E13" s="50" t="s">
        <v>1</v>
      </c>
      <c r="F13" s="50">
        <v>1</v>
      </c>
      <c r="G13" s="55">
        <v>1.2213615</v>
      </c>
      <c r="H13" s="52">
        <v>16.665360323799998</v>
      </c>
      <c r="I13" s="54">
        <f t="shared" si="0"/>
        <v>73.287434311021727</v>
      </c>
      <c r="J13" s="50">
        <v>1.3573807</v>
      </c>
      <c r="K13" s="52">
        <v>1.82673473652</v>
      </c>
      <c r="L13" s="90">
        <f t="shared" si="1"/>
        <v>18.492095060319997</v>
      </c>
    </row>
    <row r="14" spans="1:16">
      <c r="A14" s="67">
        <v>1601</v>
      </c>
      <c r="B14" s="50" t="s">
        <v>100</v>
      </c>
      <c r="C14" s="50" t="s">
        <v>22</v>
      </c>
      <c r="D14" s="50" t="s">
        <v>140</v>
      </c>
      <c r="E14" s="50" t="s">
        <v>73</v>
      </c>
      <c r="F14" s="50">
        <v>1</v>
      </c>
      <c r="G14" s="55">
        <v>8.5000000000000006E-2</v>
      </c>
      <c r="H14" s="52">
        <v>1.28</v>
      </c>
      <c r="I14" s="54">
        <f t="shared" si="0"/>
        <v>66.40625</v>
      </c>
      <c r="J14" s="50">
        <v>8.659E-2</v>
      </c>
      <c r="K14" s="52">
        <v>0</v>
      </c>
      <c r="L14" s="90">
        <f t="shared" si="1"/>
        <v>1.28</v>
      </c>
      <c r="M14" t="s">
        <v>102</v>
      </c>
    </row>
    <row r="15" spans="1:16">
      <c r="A15" s="67">
        <v>12292</v>
      </c>
      <c r="B15" s="50" t="s">
        <v>77</v>
      </c>
      <c r="C15" s="50" t="s">
        <v>75</v>
      </c>
      <c r="D15" s="50" t="s">
        <v>78</v>
      </c>
      <c r="E15" s="50" t="s">
        <v>1</v>
      </c>
      <c r="F15" s="50">
        <v>1</v>
      </c>
      <c r="G15" s="55">
        <v>14.802611000000001</v>
      </c>
      <c r="H15" s="52">
        <v>275.14105886200002</v>
      </c>
      <c r="I15" s="54">
        <f t="shared" si="0"/>
        <v>53.800080079739793</v>
      </c>
      <c r="J15" s="50">
        <v>18.711015</v>
      </c>
      <c r="K15" s="52">
        <v>221.991557599</v>
      </c>
      <c r="L15" s="90">
        <f t="shared" si="1"/>
        <v>497.132616461</v>
      </c>
    </row>
    <row r="16" spans="1:16">
      <c r="A16" s="67">
        <v>13492</v>
      </c>
      <c r="B16" s="50" t="s">
        <v>79</v>
      </c>
      <c r="C16" s="50" t="s">
        <v>75</v>
      </c>
      <c r="D16" s="50" t="s">
        <v>80</v>
      </c>
      <c r="E16" s="50" t="s">
        <v>1</v>
      </c>
      <c r="F16" s="50">
        <v>1</v>
      </c>
      <c r="G16" s="55">
        <v>1.9192517</v>
      </c>
      <c r="H16" s="52">
        <v>79.357703812899999</v>
      </c>
      <c r="I16" s="54">
        <f t="shared" si="0"/>
        <v>24.184818962567007</v>
      </c>
      <c r="J16" s="50">
        <v>2.3153990000000002</v>
      </c>
      <c r="K16" s="52">
        <v>1.0089540707</v>
      </c>
      <c r="L16" s="90">
        <f t="shared" si="1"/>
        <v>80.366657883599999</v>
      </c>
    </row>
    <row r="17" spans="1:13">
      <c r="A17" s="67">
        <v>13532</v>
      </c>
      <c r="B17" s="50" t="s">
        <v>43</v>
      </c>
      <c r="C17" s="50" t="s">
        <v>22</v>
      </c>
      <c r="D17" s="50" t="s">
        <v>44</v>
      </c>
      <c r="E17" s="50" t="s">
        <v>1</v>
      </c>
      <c r="F17" s="50">
        <v>1</v>
      </c>
      <c r="G17" s="55">
        <v>1.5167522</v>
      </c>
      <c r="H17" s="52">
        <v>77.070942857709994</v>
      </c>
      <c r="I17" s="54">
        <f t="shared" si="0"/>
        <v>19.679948677937677</v>
      </c>
      <c r="J17" s="50">
        <v>1.9003220999999999</v>
      </c>
      <c r="K17" s="52">
        <v>1.0000909482</v>
      </c>
      <c r="L17" s="90">
        <f t="shared" si="1"/>
        <v>78.071033805909991</v>
      </c>
    </row>
    <row r="18" spans="1:13">
      <c r="A18" s="67">
        <v>13598</v>
      </c>
      <c r="B18" s="50" t="s">
        <v>81</v>
      </c>
      <c r="C18" s="50" t="s">
        <v>75</v>
      </c>
      <c r="D18" s="50" t="s">
        <v>82</v>
      </c>
      <c r="E18" s="50" t="s">
        <v>1</v>
      </c>
      <c r="F18" s="50">
        <v>1</v>
      </c>
      <c r="G18" s="55">
        <v>2.1136887999999998</v>
      </c>
      <c r="H18" s="52">
        <v>57.351666661800003</v>
      </c>
      <c r="I18" s="54">
        <f t="shared" si="0"/>
        <v>36.854880128668626</v>
      </c>
      <c r="J18" s="50">
        <v>2.4231058000000001</v>
      </c>
      <c r="K18" s="52">
        <v>2.0070345670999998</v>
      </c>
      <c r="L18" s="90">
        <f t="shared" si="1"/>
        <v>59.358701228900003</v>
      </c>
    </row>
    <row r="19" spans="1:13">
      <c r="A19" s="67">
        <v>14863</v>
      </c>
      <c r="B19" s="50" t="s">
        <v>83</v>
      </c>
      <c r="C19" s="50" t="s">
        <v>22</v>
      </c>
      <c r="D19" s="50" t="s">
        <v>83</v>
      </c>
      <c r="E19" s="50" t="s">
        <v>1</v>
      </c>
      <c r="F19" s="50">
        <v>1</v>
      </c>
      <c r="G19" s="55">
        <v>0.15973424999999999</v>
      </c>
      <c r="H19" s="52">
        <v>1.5173103058000001</v>
      </c>
      <c r="I19" s="54">
        <f t="shared" si="0"/>
        <v>105.27460954387988</v>
      </c>
      <c r="J19" s="50">
        <v>0.17059246</v>
      </c>
      <c r="K19" s="52">
        <v>0.25557595389999999</v>
      </c>
      <c r="L19" s="90">
        <f t="shared" si="1"/>
        <v>1.7728862597000001</v>
      </c>
    </row>
    <row r="20" spans="1:13">
      <c r="A20" s="67">
        <v>15028</v>
      </c>
      <c r="B20" s="50" t="s">
        <v>84</v>
      </c>
      <c r="C20" s="50" t="s">
        <v>22</v>
      </c>
      <c r="D20" s="50" t="s">
        <v>84</v>
      </c>
      <c r="E20" s="50" t="s">
        <v>1</v>
      </c>
      <c r="F20" s="50">
        <v>1</v>
      </c>
      <c r="G20" s="55">
        <v>0.28371059999999998</v>
      </c>
      <c r="H20" s="52">
        <v>4.9637526903799998</v>
      </c>
      <c r="I20" s="54">
        <f t="shared" si="0"/>
        <v>57.156473679650738</v>
      </c>
      <c r="J20" s="50">
        <v>0.31869152000000001</v>
      </c>
      <c r="K20" s="52">
        <v>0.42848880709999998</v>
      </c>
      <c r="L20" s="90">
        <f t="shared" si="1"/>
        <v>5.3922414974799997</v>
      </c>
    </row>
    <row r="21" spans="1:13">
      <c r="A21" s="67">
        <v>15688</v>
      </c>
      <c r="B21" s="50" t="s">
        <v>85</v>
      </c>
      <c r="C21" s="50" t="s">
        <v>22</v>
      </c>
      <c r="D21" s="50" t="s">
        <v>86</v>
      </c>
      <c r="E21" s="50" t="s">
        <v>1</v>
      </c>
      <c r="F21" s="50">
        <v>1</v>
      </c>
      <c r="G21" s="55">
        <v>1.9191216</v>
      </c>
      <c r="H21" s="52">
        <v>25.220541009999998</v>
      </c>
      <c r="I21" s="54">
        <f t="shared" si="0"/>
        <v>76.093593679812983</v>
      </c>
      <c r="J21" s="50">
        <v>2.2139538000000001</v>
      </c>
      <c r="K21" s="52">
        <v>2.1640413726999999</v>
      </c>
      <c r="L21" s="90">
        <f t="shared" si="1"/>
        <v>27.384582382699996</v>
      </c>
    </row>
    <row r="22" spans="1:13">
      <c r="A22" s="67">
        <v>15998</v>
      </c>
      <c r="B22" s="50" t="s">
        <v>87</v>
      </c>
      <c r="C22" s="50" t="s">
        <v>22</v>
      </c>
      <c r="D22" s="50" t="s">
        <v>88</v>
      </c>
      <c r="E22" s="50" t="s">
        <v>1</v>
      </c>
      <c r="F22" s="50">
        <v>1</v>
      </c>
      <c r="G22" s="55">
        <v>9.2734680999999999E-2</v>
      </c>
      <c r="H22" s="52">
        <v>3.2791276421599997</v>
      </c>
      <c r="I22" s="54">
        <f t="shared" si="0"/>
        <v>28.280290101459602</v>
      </c>
      <c r="J22" s="50">
        <v>0.10553827</v>
      </c>
      <c r="K22" s="52">
        <v>0.17320107600000001</v>
      </c>
      <c r="L22" s="90">
        <f t="shared" si="1"/>
        <v>3.4523287181599995</v>
      </c>
    </row>
    <row r="23" spans="1:13">
      <c r="A23" s="67">
        <v>16111</v>
      </c>
      <c r="B23" s="50" t="s">
        <v>89</v>
      </c>
      <c r="C23" s="50" t="s">
        <v>75</v>
      </c>
      <c r="D23" s="50" t="s">
        <v>90</v>
      </c>
      <c r="E23" s="50" t="s">
        <v>1</v>
      </c>
      <c r="F23" s="50">
        <v>1</v>
      </c>
      <c r="G23" s="55">
        <v>2.4385405000000002</v>
      </c>
      <c r="H23" s="52">
        <v>83.60239744319999</v>
      </c>
      <c r="I23" s="54">
        <f t="shared" si="0"/>
        <v>29.168308261216556</v>
      </c>
      <c r="J23" s="50">
        <v>2.7275390000000002</v>
      </c>
      <c r="K23" s="52">
        <v>3.1167714769000003</v>
      </c>
      <c r="L23" s="90">
        <f t="shared" si="1"/>
        <v>86.719168920099989</v>
      </c>
    </row>
    <row r="24" spans="1:13">
      <c r="A24" s="67">
        <v>16201</v>
      </c>
      <c r="B24" s="50" t="s">
        <v>91</v>
      </c>
      <c r="C24" s="50" t="s">
        <v>58</v>
      </c>
      <c r="D24" s="50" t="s">
        <v>92</v>
      </c>
      <c r="E24" s="50" t="s">
        <v>1</v>
      </c>
      <c r="F24" s="50">
        <v>1</v>
      </c>
      <c r="G24" s="55">
        <v>3.0655740999999999E-4</v>
      </c>
      <c r="H24" s="52">
        <v>5.24675681922E-3</v>
      </c>
      <c r="I24" s="54">
        <f t="shared" si="0"/>
        <v>58.427981429788048</v>
      </c>
      <c r="J24" s="50">
        <v>3.3307439E-4</v>
      </c>
      <c r="K24" s="52">
        <v>5.5172447051000007E-4</v>
      </c>
      <c r="L24" s="90">
        <f t="shared" si="1"/>
        <v>5.7984812897299998E-3</v>
      </c>
    </row>
    <row r="25" spans="1:13">
      <c r="A25" s="67">
        <v>19516</v>
      </c>
      <c r="B25" s="50" t="s">
        <v>98</v>
      </c>
      <c r="C25" s="50" t="s">
        <v>75</v>
      </c>
      <c r="D25" s="50" t="s">
        <v>99</v>
      </c>
      <c r="E25" s="50" t="s">
        <v>1</v>
      </c>
      <c r="F25" s="50">
        <v>1</v>
      </c>
      <c r="G25" s="55">
        <v>2.5227368999999999</v>
      </c>
      <c r="H25" s="52">
        <v>42.345437278200002</v>
      </c>
      <c r="I25" s="54">
        <f t="shared" si="0"/>
        <v>59.575176504287484</v>
      </c>
      <c r="J25" s="50">
        <v>2.7140713999999999</v>
      </c>
      <c r="K25" s="52">
        <v>5.6209014682199996</v>
      </c>
      <c r="L25" s="90">
        <f t="shared" si="1"/>
        <v>47.96633874642</v>
      </c>
    </row>
    <row r="26" spans="1:13">
      <c r="A26" s="82">
        <v>981</v>
      </c>
      <c r="B26" s="76" t="s">
        <v>121</v>
      </c>
      <c r="C26" s="76" t="s">
        <v>75</v>
      </c>
      <c r="D26" s="76" t="s">
        <v>122</v>
      </c>
      <c r="E26" s="76" t="s">
        <v>1</v>
      </c>
      <c r="F26" s="76">
        <v>1</v>
      </c>
      <c r="G26" s="77">
        <v>7.0482569000000002</v>
      </c>
      <c r="H26" s="86">
        <v>114.566604899</v>
      </c>
      <c r="I26" s="87">
        <f t="shared" si="0"/>
        <v>61.521041897101036</v>
      </c>
      <c r="J26" s="76">
        <v>8.1666348000000006</v>
      </c>
      <c r="K26" s="86">
        <v>14.109314219000002</v>
      </c>
      <c r="L26" s="91">
        <f t="shared" si="1"/>
        <v>128.675919118</v>
      </c>
    </row>
    <row r="27" spans="1:13">
      <c r="A27" s="76">
        <v>7137</v>
      </c>
      <c r="B27" s="76" t="s">
        <v>162</v>
      </c>
      <c r="C27" s="76" t="s">
        <v>58</v>
      </c>
      <c r="D27" s="76" t="s">
        <v>162</v>
      </c>
      <c r="E27" s="76" t="s">
        <v>1</v>
      </c>
      <c r="F27" s="76">
        <v>1</v>
      </c>
      <c r="G27" s="77">
        <v>0.96734295999999997</v>
      </c>
      <c r="H27" s="112">
        <v>14.297489357960002</v>
      </c>
      <c r="I27" s="87">
        <f t="shared" si="0"/>
        <v>67.658239553886446</v>
      </c>
      <c r="J27" s="76">
        <v>1.0782862</v>
      </c>
      <c r="K27" s="112">
        <v>1.5466468638599999</v>
      </c>
      <c r="L27" s="112">
        <f t="shared" si="1"/>
        <v>15.844136221820001</v>
      </c>
    </row>
    <row r="28" spans="1:13">
      <c r="A28" s="82">
        <v>11311</v>
      </c>
      <c r="B28" s="76" t="s">
        <v>123</v>
      </c>
      <c r="C28" s="76" t="s">
        <v>22</v>
      </c>
      <c r="D28" s="76" t="s">
        <v>124</v>
      </c>
      <c r="E28" s="76" t="s">
        <v>1</v>
      </c>
      <c r="F28" s="76">
        <v>1</v>
      </c>
      <c r="G28" s="77">
        <v>1.0636346999999999</v>
      </c>
      <c r="H28" s="86">
        <v>65.306285732039996</v>
      </c>
      <c r="I28" s="87">
        <f t="shared" si="0"/>
        <v>16.286865622158157</v>
      </c>
      <c r="J28" s="76">
        <v>1.1874221</v>
      </c>
      <c r="K28" s="86">
        <v>1.2838169516000002</v>
      </c>
      <c r="L28" s="91">
        <f t="shared" si="1"/>
        <v>66.590102683639998</v>
      </c>
    </row>
    <row r="29" spans="1:13">
      <c r="A29" s="82">
        <v>11683</v>
      </c>
      <c r="B29" s="76" t="s">
        <v>125</v>
      </c>
      <c r="C29" s="76" t="s">
        <v>75</v>
      </c>
      <c r="D29" s="76" t="s">
        <v>126</v>
      </c>
      <c r="E29" s="76" t="s">
        <v>1</v>
      </c>
      <c r="F29" s="76">
        <v>1</v>
      </c>
      <c r="G29" s="77">
        <v>3.4644523</v>
      </c>
      <c r="H29" s="86">
        <v>45.984214337400005</v>
      </c>
      <c r="I29" s="87">
        <f t="shared" si="0"/>
        <v>75.340034616668063</v>
      </c>
      <c r="J29" s="76">
        <v>4.0603889000000004</v>
      </c>
      <c r="K29" s="86">
        <v>4.4887809690000005</v>
      </c>
      <c r="L29" s="91">
        <f t="shared" si="1"/>
        <v>50.472995306400009</v>
      </c>
    </row>
    <row r="30" spans="1:13">
      <c r="A30" s="82">
        <v>11694</v>
      </c>
      <c r="B30" s="76" t="s">
        <v>51</v>
      </c>
      <c r="C30" s="76" t="s">
        <v>22</v>
      </c>
      <c r="D30" s="76" t="s">
        <v>51</v>
      </c>
      <c r="E30" s="76" t="s">
        <v>1</v>
      </c>
      <c r="F30" s="76">
        <v>1</v>
      </c>
      <c r="G30" s="77">
        <v>1.4794537000000001</v>
      </c>
      <c r="H30" s="86">
        <v>25.190272374900001</v>
      </c>
      <c r="I30" s="87">
        <f t="shared" si="0"/>
        <v>58.731151373899074</v>
      </c>
      <c r="J30" s="76">
        <v>1.6605251999999999</v>
      </c>
      <c r="K30" s="86">
        <v>2.8583432789999996</v>
      </c>
      <c r="L30" s="91">
        <f t="shared" si="1"/>
        <v>28.048615653900001</v>
      </c>
    </row>
    <row r="31" spans="1:13" ht="15" thickBot="1">
      <c r="A31" s="97">
        <v>13590</v>
      </c>
      <c r="B31" s="78" t="s">
        <v>127</v>
      </c>
      <c r="C31" s="78" t="s">
        <v>58</v>
      </c>
      <c r="D31" s="78" t="s">
        <v>128</v>
      </c>
      <c r="E31" s="78" t="s">
        <v>1</v>
      </c>
      <c r="F31" s="78">
        <v>1</v>
      </c>
      <c r="G31" s="79">
        <v>4.9718327999999996</v>
      </c>
      <c r="H31" s="98">
        <v>121.66776029899999</v>
      </c>
      <c r="I31" s="99">
        <f t="shared" si="0"/>
        <v>40.864011861331711</v>
      </c>
      <c r="J31" s="78">
        <v>6.4054308000000004</v>
      </c>
      <c r="K31" s="98">
        <v>5.6740800822999988</v>
      </c>
      <c r="L31" s="100">
        <f t="shared" si="1"/>
        <v>127.34184038129999</v>
      </c>
      <c r="M31" t="s">
        <v>114</v>
      </c>
    </row>
    <row r="32" spans="1:13">
      <c r="A32" s="61">
        <v>16525</v>
      </c>
      <c r="B32" s="62" t="s">
        <v>93</v>
      </c>
      <c r="C32" s="62" t="s">
        <v>22</v>
      </c>
      <c r="D32" s="62" t="s">
        <v>94</v>
      </c>
      <c r="E32" s="62" t="s">
        <v>46</v>
      </c>
      <c r="F32" s="62">
        <v>1</v>
      </c>
      <c r="G32" s="63">
        <v>4.1812312999999997E-2</v>
      </c>
      <c r="H32" s="64">
        <v>0.70222190420999997</v>
      </c>
      <c r="I32" s="65">
        <f t="shared" si="0"/>
        <v>59.542877756054722</v>
      </c>
      <c r="J32" s="62">
        <v>4.4801749000000002E-2</v>
      </c>
      <c r="K32" s="64">
        <v>6.9494111982000006E-2</v>
      </c>
      <c r="L32" s="66">
        <f t="shared" si="1"/>
        <v>0.77171601619200003</v>
      </c>
    </row>
    <row r="33" spans="1:13">
      <c r="A33" s="69">
        <v>16629</v>
      </c>
      <c r="B33" s="50" t="s">
        <v>95</v>
      </c>
      <c r="C33" s="50" t="s">
        <v>58</v>
      </c>
      <c r="D33" s="50" t="s">
        <v>96</v>
      </c>
      <c r="E33" s="50" t="s">
        <v>46</v>
      </c>
      <c r="F33" s="50">
        <v>1</v>
      </c>
      <c r="G33" s="55">
        <v>0.16557683000000001</v>
      </c>
      <c r="H33" s="51">
        <v>2.71316117779</v>
      </c>
      <c r="I33" s="53">
        <f t="shared" si="0"/>
        <v>61.027273777693622</v>
      </c>
      <c r="J33" s="50">
        <v>0.17185733</v>
      </c>
      <c r="K33" s="51">
        <v>2.943124489E-2</v>
      </c>
      <c r="L33" s="68">
        <f t="shared" si="1"/>
        <v>2.74259242268</v>
      </c>
    </row>
    <row r="34" spans="1:13" ht="15" thickBot="1">
      <c r="A34" s="75">
        <v>16822</v>
      </c>
      <c r="B34" s="70" t="s">
        <v>97</v>
      </c>
      <c r="C34" s="70" t="s">
        <v>75</v>
      </c>
      <c r="D34" s="70" t="s">
        <v>97</v>
      </c>
      <c r="E34" s="70" t="s">
        <v>46</v>
      </c>
      <c r="F34" s="70">
        <v>1</v>
      </c>
      <c r="G34" s="71">
        <v>9.0969941999999998E-3</v>
      </c>
      <c r="H34" s="72">
        <v>0.12785665997949999</v>
      </c>
      <c r="I34" s="73">
        <f t="shared" si="0"/>
        <v>71.149944019017653</v>
      </c>
      <c r="J34" s="70">
        <v>9.4049823999999994E-3</v>
      </c>
      <c r="K34" s="72">
        <v>8.1268679730000007E-4</v>
      </c>
      <c r="L34" s="74">
        <f t="shared" si="1"/>
        <v>0.1286693467768</v>
      </c>
      <c r="M34" t="s">
        <v>5</v>
      </c>
    </row>
    <row r="35" spans="1:13">
      <c r="A35" s="61">
        <v>17771</v>
      </c>
      <c r="B35" s="62" t="s">
        <v>106</v>
      </c>
      <c r="C35" s="62" t="s">
        <v>48</v>
      </c>
      <c r="D35" s="62" t="s">
        <v>107</v>
      </c>
      <c r="E35" s="62" t="s">
        <v>1</v>
      </c>
      <c r="F35" s="62">
        <v>-1</v>
      </c>
      <c r="G35" s="63">
        <v>1.1106366999999999</v>
      </c>
      <c r="H35" s="64">
        <v>1.8340468626799999</v>
      </c>
      <c r="I35" s="65">
        <f t="shared" si="0"/>
        <v>605.5661513343681</v>
      </c>
      <c r="J35" s="62">
        <v>1.1236763000000001</v>
      </c>
      <c r="K35" s="64">
        <v>0.185180926558</v>
      </c>
      <c r="L35" s="66">
        <f t="shared" si="1"/>
        <v>2.0192277892380002</v>
      </c>
    </row>
    <row r="36" spans="1:13">
      <c r="A36" s="67">
        <v>17853</v>
      </c>
      <c r="B36" s="50" t="s">
        <v>108</v>
      </c>
      <c r="C36" s="50" t="s">
        <v>48</v>
      </c>
      <c r="D36" s="50" t="s">
        <v>109</v>
      </c>
      <c r="E36" s="50" t="s">
        <v>1</v>
      </c>
      <c r="F36" s="50">
        <v>-1</v>
      </c>
      <c r="G36" s="55">
        <v>1.1153418999999999E-2</v>
      </c>
      <c r="H36" s="52">
        <v>0.27058355710500004</v>
      </c>
      <c r="I36" s="54">
        <f t="shared" si="0"/>
        <v>41.219869822584648</v>
      </c>
      <c r="J36" s="50">
        <v>1.3427409E-2</v>
      </c>
      <c r="K36" s="52">
        <v>7.0785740639999995E-3</v>
      </c>
      <c r="L36" s="90">
        <f t="shared" si="1"/>
        <v>0.27766213116900001</v>
      </c>
    </row>
    <row r="37" spans="1:13">
      <c r="A37" s="67">
        <v>18250</v>
      </c>
      <c r="B37" s="50" t="s">
        <v>110</v>
      </c>
      <c r="C37" s="50" t="s">
        <v>48</v>
      </c>
      <c r="D37" s="50" t="s">
        <v>111</v>
      </c>
      <c r="E37" s="50" t="s">
        <v>1</v>
      </c>
      <c r="F37" s="50">
        <v>-1</v>
      </c>
      <c r="G37" s="55">
        <v>2.3345750999999999</v>
      </c>
      <c r="H37" s="52">
        <v>0.48331973484699997</v>
      </c>
      <c r="I37" s="54">
        <f t="shared" si="0"/>
        <v>4830.291278586079</v>
      </c>
      <c r="J37" s="50">
        <v>2.3458359</v>
      </c>
      <c r="K37" s="52">
        <v>4.1879640986E-2</v>
      </c>
      <c r="L37" s="90">
        <f t="shared" si="1"/>
        <v>0.52519937583300003</v>
      </c>
    </row>
    <row r="38" spans="1:13">
      <c r="A38" s="67">
        <v>19537</v>
      </c>
      <c r="B38" s="50" t="s">
        <v>112</v>
      </c>
      <c r="C38" s="50" t="s">
        <v>48</v>
      </c>
      <c r="D38" s="50" t="s">
        <v>113</v>
      </c>
      <c r="E38" s="50" t="s">
        <v>1</v>
      </c>
      <c r="F38" s="50">
        <v>-1</v>
      </c>
      <c r="G38" s="55">
        <v>0.22211976</v>
      </c>
      <c r="H38" s="52">
        <v>1.6770813573099999</v>
      </c>
      <c r="I38" s="54">
        <f t="shared" si="0"/>
        <v>132.4442365493079</v>
      </c>
      <c r="J38" s="50">
        <v>0.23252513</v>
      </c>
      <c r="K38" s="52">
        <v>0.17878616907999997</v>
      </c>
      <c r="L38" s="90">
        <f t="shared" si="1"/>
        <v>1.8558675263899997</v>
      </c>
    </row>
    <row r="39" spans="1:13">
      <c r="A39" s="67">
        <v>493</v>
      </c>
      <c r="B39" s="50" t="s">
        <v>119</v>
      </c>
      <c r="C39" s="50" t="s">
        <v>58</v>
      </c>
      <c r="D39" s="50" t="s">
        <v>120</v>
      </c>
      <c r="E39" s="50" t="s">
        <v>1</v>
      </c>
      <c r="F39" s="50">
        <v>1</v>
      </c>
      <c r="G39" s="55">
        <v>0.72918764999999997</v>
      </c>
      <c r="H39" s="52">
        <v>9.0213324453000006</v>
      </c>
      <c r="I39" s="54">
        <f t="shared" si="0"/>
        <v>80.829262686123215</v>
      </c>
      <c r="J39" s="50">
        <v>0.79992189999999996</v>
      </c>
      <c r="K39" s="52">
        <v>1.2981547721900002</v>
      </c>
      <c r="L39" s="90">
        <f t="shared" si="1"/>
        <v>10.31948721749</v>
      </c>
    </row>
    <row r="40" spans="1:13">
      <c r="A40" s="82">
        <v>9875</v>
      </c>
      <c r="B40" s="76" t="s">
        <v>129</v>
      </c>
      <c r="C40" s="76" t="s">
        <v>58</v>
      </c>
      <c r="D40" s="76" t="s">
        <v>130</v>
      </c>
      <c r="E40" s="76" t="s">
        <v>1</v>
      </c>
      <c r="F40" s="76">
        <v>1</v>
      </c>
      <c r="G40" s="77">
        <v>5.1301316999999999E-2</v>
      </c>
      <c r="H40" s="86">
        <v>0.7290009167</v>
      </c>
      <c r="I40" s="87">
        <f t="shared" si="0"/>
        <v>70.372088463520583</v>
      </c>
      <c r="J40" s="76">
        <v>8.9742350999999998E-2</v>
      </c>
      <c r="K40" s="86">
        <v>3.3602191652999998E-2</v>
      </c>
      <c r="L40" s="91">
        <f t="shared" si="1"/>
        <v>0.76260310835300005</v>
      </c>
    </row>
    <row r="41" spans="1:13">
      <c r="A41" s="82">
        <v>17851</v>
      </c>
      <c r="B41" s="76" t="s">
        <v>131</v>
      </c>
      <c r="C41" s="76" t="s">
        <v>48</v>
      </c>
      <c r="D41" s="76" t="s">
        <v>109</v>
      </c>
      <c r="E41" s="76" t="s">
        <v>1</v>
      </c>
      <c r="F41" s="76">
        <v>-1</v>
      </c>
      <c r="G41" s="77">
        <v>3.9807189999999998E-3</v>
      </c>
      <c r="H41" s="86">
        <v>0.1458860790314</v>
      </c>
      <c r="I41" s="87">
        <f t="shared" si="0"/>
        <v>27.286489748917056</v>
      </c>
      <c r="J41" s="76">
        <v>4.2370220999999996E-3</v>
      </c>
      <c r="K41" s="86">
        <v>2.7956913818999998E-3</v>
      </c>
      <c r="L41" s="91">
        <f t="shared" si="1"/>
        <v>0.1486817704133</v>
      </c>
    </row>
    <row r="42" spans="1:13">
      <c r="A42" s="82">
        <v>17961</v>
      </c>
      <c r="B42" s="76" t="s">
        <v>132</v>
      </c>
      <c r="C42" s="76" t="s">
        <v>48</v>
      </c>
      <c r="D42" s="76" t="s">
        <v>133</v>
      </c>
      <c r="E42" s="76" t="s">
        <v>1</v>
      </c>
      <c r="F42" s="76">
        <v>-1</v>
      </c>
      <c r="G42" s="77">
        <v>2.8409762999999999</v>
      </c>
      <c r="H42" s="86">
        <v>0.24716554803299998</v>
      </c>
      <c r="I42" s="87">
        <f t="shared" si="0"/>
        <v>11494.224509075555</v>
      </c>
      <c r="J42" s="76">
        <v>2.8430456</v>
      </c>
      <c r="K42" s="86">
        <v>1.3825208508999999E-2</v>
      </c>
      <c r="L42" s="91">
        <f t="shared" si="1"/>
        <v>0.26099075654199999</v>
      </c>
    </row>
    <row r="43" spans="1:13">
      <c r="A43" s="82">
        <v>18257</v>
      </c>
      <c r="B43" s="76" t="s">
        <v>134</v>
      </c>
      <c r="C43" s="76" t="s">
        <v>48</v>
      </c>
      <c r="D43" s="76" t="s">
        <v>111</v>
      </c>
      <c r="E43" s="76" t="s">
        <v>1</v>
      </c>
      <c r="F43" s="76">
        <v>-1</v>
      </c>
      <c r="G43" s="77">
        <v>2.4003382E-2</v>
      </c>
      <c r="H43" s="86">
        <v>0.23960025287510001</v>
      </c>
      <c r="I43" s="87">
        <f t="shared" si="0"/>
        <v>100.18095436866086</v>
      </c>
      <c r="J43" s="76">
        <v>9.6838257999999997E-2</v>
      </c>
      <c r="K43" s="86">
        <v>1.1725443646E-2</v>
      </c>
      <c r="L43" s="91">
        <f t="shared" si="1"/>
        <v>0.25132569652109998</v>
      </c>
    </row>
    <row r="44" spans="1:13" ht="15" thickBot="1">
      <c r="A44" s="97">
        <v>18621</v>
      </c>
      <c r="B44" s="78" t="s">
        <v>135</v>
      </c>
      <c r="C44" s="78" t="s">
        <v>58</v>
      </c>
      <c r="D44" s="78" t="s">
        <v>136</v>
      </c>
      <c r="E44" s="78" t="s">
        <v>1</v>
      </c>
      <c r="F44" s="78">
        <v>-1</v>
      </c>
      <c r="G44" s="79">
        <v>0.47093748000000002</v>
      </c>
      <c r="H44" s="98">
        <v>0.67096498463999998</v>
      </c>
      <c r="I44" s="99">
        <f t="shared" si="0"/>
        <v>701.88085933079969</v>
      </c>
      <c r="J44" s="78">
        <v>0.62918377000000003</v>
      </c>
      <c r="K44" s="98">
        <v>1.1346230633E-2</v>
      </c>
      <c r="L44" s="100">
        <f t="shared" si="1"/>
        <v>0.68231121527299998</v>
      </c>
      <c r="M44" t="s">
        <v>116</v>
      </c>
    </row>
    <row r="45" spans="1:13">
      <c r="A45" s="61">
        <v>13041</v>
      </c>
      <c r="B45" s="62" t="s">
        <v>117</v>
      </c>
      <c r="C45" s="62" t="s">
        <v>47</v>
      </c>
      <c r="D45" s="62" t="s">
        <v>118</v>
      </c>
      <c r="E45" s="62" t="s">
        <v>1</v>
      </c>
      <c r="F45" s="62">
        <v>1</v>
      </c>
      <c r="G45" s="63">
        <v>0.58292348000000005</v>
      </c>
      <c r="H45" s="64">
        <v>54.400731220600001</v>
      </c>
      <c r="I45" s="65">
        <f t="shared" si="0"/>
        <v>10.715361115941464</v>
      </c>
      <c r="J45" s="62">
        <v>0.63547922999999995</v>
      </c>
      <c r="K45" s="64">
        <v>0.17935146120000001</v>
      </c>
      <c r="L45" s="66">
        <f t="shared" si="1"/>
        <v>54.5800826818</v>
      </c>
      <c r="M45" t="s">
        <v>159</v>
      </c>
    </row>
    <row r="46" spans="1:13">
      <c r="A46" s="67">
        <v>6705</v>
      </c>
      <c r="B46" s="50" t="s">
        <v>103</v>
      </c>
      <c r="C46" s="50" t="s">
        <v>104</v>
      </c>
      <c r="D46" s="50" t="s">
        <v>105</v>
      </c>
      <c r="E46" s="50" t="s">
        <v>2</v>
      </c>
      <c r="F46" s="50">
        <v>1</v>
      </c>
      <c r="G46" s="55">
        <v>0.40013556</v>
      </c>
      <c r="H46" s="52">
        <v>9.0683380483600011</v>
      </c>
      <c r="I46" s="54">
        <f t="shared" si="0"/>
        <v>44.124464468146293</v>
      </c>
      <c r="J46" s="50">
        <v>0.42848921000000001</v>
      </c>
      <c r="K46" s="52">
        <v>1.272223605867</v>
      </c>
      <c r="L46" s="90">
        <f t="shared" si="1"/>
        <v>10.340561654227001</v>
      </c>
    </row>
    <row r="47" spans="1:13">
      <c r="A47" s="83">
        <v>4964</v>
      </c>
      <c r="B47" s="80" t="s">
        <v>137</v>
      </c>
      <c r="C47" s="80" t="s">
        <v>58</v>
      </c>
      <c r="D47" s="80" t="s">
        <v>138</v>
      </c>
      <c r="E47" s="80" t="s">
        <v>2</v>
      </c>
      <c r="F47" s="80">
        <v>1</v>
      </c>
      <c r="G47" s="81">
        <v>1.2823340000000001E-2</v>
      </c>
      <c r="H47" s="88">
        <v>0.195062311515</v>
      </c>
      <c r="I47" s="89">
        <f t="shared" si="0"/>
        <v>65.739711071833085</v>
      </c>
      <c r="J47" s="80">
        <v>1.4481565E-2</v>
      </c>
      <c r="K47" s="88">
        <v>3.8837257247749002</v>
      </c>
      <c r="L47" s="92">
        <f t="shared" si="1"/>
        <v>4.0787880362899003</v>
      </c>
    </row>
    <row r="48" spans="1:13" ht="15" thickBot="1">
      <c r="A48" s="93">
        <v>6311</v>
      </c>
      <c r="B48" s="84" t="s">
        <v>139</v>
      </c>
      <c r="C48" s="84" t="s">
        <v>58</v>
      </c>
      <c r="D48" s="84" t="s">
        <v>45</v>
      </c>
      <c r="E48" s="84" t="s">
        <v>2</v>
      </c>
      <c r="F48" s="84">
        <v>1</v>
      </c>
      <c r="G48" s="85">
        <v>6.8347837999999994E-2</v>
      </c>
      <c r="H48" s="94">
        <v>1.0261752851700001</v>
      </c>
      <c r="I48" s="95">
        <f t="shared" si="0"/>
        <v>66.604447590722515</v>
      </c>
      <c r="J48" s="84">
        <v>7.8110456999999994E-2</v>
      </c>
      <c r="K48" s="94">
        <v>4.0230495175999996</v>
      </c>
      <c r="L48" s="96">
        <f t="shared" si="1"/>
        <v>5.0492248027699995</v>
      </c>
    </row>
    <row r="49" spans="1:12" ht="15" thickBot="1">
      <c r="A49" s="156">
        <v>4946</v>
      </c>
      <c r="B49" s="157" t="s">
        <v>245</v>
      </c>
      <c r="C49" s="157" t="s">
        <v>58</v>
      </c>
      <c r="D49" s="157" t="s">
        <v>138</v>
      </c>
      <c r="E49" s="157" t="s">
        <v>2</v>
      </c>
      <c r="F49" s="157">
        <v>1</v>
      </c>
      <c r="G49" s="158">
        <v>0.99176280000000006</v>
      </c>
      <c r="H49" s="159">
        <v>10.33904117732</v>
      </c>
      <c r="I49" s="160">
        <v>95.924059396876928</v>
      </c>
      <c r="J49" s="157">
        <v>1.0089832999999999</v>
      </c>
      <c r="K49" s="159">
        <v>0.101282416966</v>
      </c>
      <c r="L49" s="161">
        <v>10.440323594286001</v>
      </c>
    </row>
    <row r="50" spans="1:12">
      <c r="A50" s="50">
        <v>11666</v>
      </c>
      <c r="B50" s="50" t="s">
        <v>275</v>
      </c>
      <c r="C50" s="50" t="s">
        <v>75</v>
      </c>
      <c r="D50" s="50" t="s">
        <v>276</v>
      </c>
      <c r="E50" s="50" t="s">
        <v>1</v>
      </c>
      <c r="F50" s="50">
        <v>1</v>
      </c>
      <c r="G50" s="55">
        <v>63383.94</v>
      </c>
      <c r="H50" s="51">
        <v>1095329.1699570001</v>
      </c>
      <c r="I50" s="53">
        <f>G50/H50*$C$1</f>
        <v>57.867481062782531</v>
      </c>
      <c r="J50" s="50">
        <v>69212.2</v>
      </c>
      <c r="K50" s="51">
        <v>24780.262775000003</v>
      </c>
      <c r="L50" s="51">
        <f>K50+H50</f>
        <v>1120109.432732</v>
      </c>
    </row>
    <row r="51" spans="1:12">
      <c r="A51" s="255">
        <v>8453</v>
      </c>
      <c r="B51" s="256" t="s">
        <v>288</v>
      </c>
      <c r="C51" s="256" t="s">
        <v>47</v>
      </c>
      <c r="D51" s="256" t="s">
        <v>72</v>
      </c>
      <c r="E51" s="256" t="s">
        <v>73</v>
      </c>
      <c r="F51" s="256">
        <v>1</v>
      </c>
      <c r="G51" s="257">
        <v>6.6111269E-2</v>
      </c>
      <c r="H51" s="258">
        <v>1.3475935677155999</v>
      </c>
      <c r="I51" s="53">
        <f>G51/H51*$C$1</f>
        <v>49.058759691224886</v>
      </c>
      <c r="J51" s="256">
        <v>7.0260814000000005E-2</v>
      </c>
      <c r="K51" s="258">
        <v>3.6530685379999998E-3</v>
      </c>
      <c r="L51" s="258">
        <f>K51+H51</f>
        <v>1.3512466362536</v>
      </c>
    </row>
    <row r="52" spans="1:12">
      <c r="A52" s="259">
        <v>11665</v>
      </c>
      <c r="B52" s="50" t="s">
        <v>292</v>
      </c>
      <c r="C52" s="50" t="s">
        <v>75</v>
      </c>
      <c r="D52" s="50" t="s">
        <v>276</v>
      </c>
      <c r="E52" s="50" t="s">
        <v>1</v>
      </c>
      <c r="F52" s="50">
        <v>1</v>
      </c>
      <c r="G52" s="55">
        <v>10203.118</v>
      </c>
      <c r="H52" s="51">
        <v>177394.82581760001</v>
      </c>
      <c r="I52" s="53" t="e">
        <f t="shared" ref="I52" si="2">G52/H52*$D$1</f>
        <v>#VALUE!</v>
      </c>
      <c r="J52" s="50">
        <v>11194.083000000001</v>
      </c>
      <c r="K52" s="51">
        <v>4786.3423157000007</v>
      </c>
      <c r="L52" s="51">
        <f>K52+H52</f>
        <v>182181.1681333</v>
      </c>
    </row>
  </sheetData>
  <conditionalFormatting sqref="E1:E2">
    <cfRule type="containsText" dxfId="1" priority="54" operator="containsText" text="unit">
      <formula>NOT(ISERROR(SEARCH("unit",E1)))</formula>
    </cfRule>
  </conditionalFormatting>
  <conditionalFormatting sqref="E5:E52">
    <cfRule type="containsText" dxfId="0" priority="1" operator="containsText" text="unit">
      <formula>NOT(ISERROR(SEARCH("unit",E5)))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21"/>
  <sheetViews>
    <sheetView workbookViewId="0">
      <selection activeCell="Y26" sqref="Y26"/>
    </sheetView>
  </sheetViews>
  <sheetFormatPr defaultColWidth="8.81640625" defaultRowHeight="14.5"/>
  <cols>
    <col min="2" max="2" width="28.1796875" customWidth="1"/>
    <col min="3" max="3" width="18.81640625" customWidth="1"/>
    <col min="4" max="4" width="10.453125" customWidth="1"/>
    <col min="8" max="8" width="9.1796875" customWidth="1"/>
  </cols>
  <sheetData>
    <row r="2" spans="2:7">
      <c r="B2" t="s">
        <v>234</v>
      </c>
    </row>
    <row r="3" spans="2:7" ht="29">
      <c r="B3" s="153" t="s">
        <v>28</v>
      </c>
      <c r="C3" s="153" t="s">
        <v>0</v>
      </c>
      <c r="D3" s="153" t="s">
        <v>197</v>
      </c>
      <c r="E3" s="153" t="s">
        <v>196</v>
      </c>
      <c r="F3" s="153" t="s">
        <v>198</v>
      </c>
      <c r="G3" s="153" t="s">
        <v>199</v>
      </c>
    </row>
    <row r="4" spans="2:7">
      <c r="B4" s="154" t="s">
        <v>200</v>
      </c>
      <c r="C4" s="154" t="s">
        <v>201</v>
      </c>
      <c r="D4" s="155">
        <v>0.26828000000000002</v>
      </c>
      <c r="E4" s="155">
        <v>0.14155799999999999</v>
      </c>
      <c r="F4" s="155">
        <v>3.6771499999999999E-2</v>
      </c>
      <c r="G4" s="155">
        <v>2.8816399999999999E-2</v>
      </c>
    </row>
    <row r="5" spans="2:7">
      <c r="B5" s="154" t="s">
        <v>202</v>
      </c>
      <c r="C5" s="154" t="s">
        <v>203</v>
      </c>
      <c r="D5" s="155">
        <v>0.273011</v>
      </c>
      <c r="E5" s="155">
        <v>0.14781</v>
      </c>
      <c r="F5" s="155">
        <v>3.9528199999999999E-2</v>
      </c>
      <c r="G5" s="155">
        <v>3.1087E-2</v>
      </c>
    </row>
    <row r="6" spans="2:7">
      <c r="B6" s="154" t="s">
        <v>204</v>
      </c>
      <c r="C6" s="154" t="s">
        <v>205</v>
      </c>
      <c r="D6" s="155">
        <v>4.0011599999999996</v>
      </c>
      <c r="E6" s="155">
        <v>2.42259</v>
      </c>
      <c r="F6" s="155">
        <v>0.414244</v>
      </c>
      <c r="G6" s="155">
        <v>0.34826699999999999</v>
      </c>
    </row>
    <row r="7" spans="2:7">
      <c r="B7" s="154" t="s">
        <v>206</v>
      </c>
      <c r="C7" s="154" t="s">
        <v>207</v>
      </c>
      <c r="D7" s="155">
        <v>4.8406600000000001E-15</v>
      </c>
      <c r="E7" s="155">
        <v>5.5638700000000002E-15</v>
      </c>
      <c r="F7" s="155">
        <v>1.8725599999999998E-15</v>
      </c>
      <c r="G7" s="155">
        <v>1.58225E-15</v>
      </c>
    </row>
    <row r="8" spans="2:7">
      <c r="B8" s="154" t="s">
        <v>208</v>
      </c>
      <c r="C8" s="154" t="s">
        <v>209</v>
      </c>
      <c r="D8" s="155">
        <v>1720.69</v>
      </c>
      <c r="E8" s="155">
        <v>12579.5</v>
      </c>
      <c r="F8" s="155">
        <v>11990.5</v>
      </c>
      <c r="G8" s="155">
        <v>11541</v>
      </c>
    </row>
    <row r="9" spans="2:7">
      <c r="B9" s="154" t="s">
        <v>210</v>
      </c>
      <c r="C9" s="154" t="s">
        <v>211</v>
      </c>
      <c r="D9" s="155">
        <v>2.9792499999999999E-6</v>
      </c>
      <c r="E9" s="155">
        <v>2.52043E-7</v>
      </c>
      <c r="F9" s="155">
        <v>2.34394E-7</v>
      </c>
      <c r="G9" s="155">
        <v>1.8220200000000001E-7</v>
      </c>
    </row>
    <row r="10" spans="2:7">
      <c r="B10" s="154" t="s">
        <v>212</v>
      </c>
      <c r="C10" s="154" t="s">
        <v>213</v>
      </c>
      <c r="D10" s="155">
        <v>2.15028E-8</v>
      </c>
      <c r="E10" s="155">
        <v>2.62793E-8</v>
      </c>
      <c r="F10" s="155">
        <v>1.6091199999999999E-8</v>
      </c>
      <c r="G10" s="155">
        <v>1.5413800000000001E-8</v>
      </c>
    </row>
    <row r="11" spans="2:7">
      <c r="B11" s="154" t="s">
        <v>214</v>
      </c>
      <c r="C11" s="154" t="s">
        <v>213</v>
      </c>
      <c r="D11" s="155">
        <v>2.96036E-8</v>
      </c>
      <c r="E11" s="155">
        <v>7.9736599999999999E-8</v>
      </c>
      <c r="F11" s="155">
        <v>5.8047700000000002E-8</v>
      </c>
      <c r="G11" s="155">
        <v>5.4191499999999999E-8</v>
      </c>
    </row>
    <row r="12" spans="2:7">
      <c r="B12" s="154" t="s">
        <v>215</v>
      </c>
      <c r="C12" s="154" t="s">
        <v>216</v>
      </c>
      <c r="D12" s="155">
        <v>1.94129</v>
      </c>
      <c r="E12" s="155">
        <v>6.7042400000000004</v>
      </c>
      <c r="F12" s="155">
        <v>0.48858499999999999</v>
      </c>
      <c r="G12" s="155">
        <v>0.41063</v>
      </c>
    </row>
    <row r="13" spans="2:7">
      <c r="B13" s="154" t="s">
        <v>217</v>
      </c>
      <c r="C13" s="154" t="s">
        <v>218</v>
      </c>
      <c r="D13" s="155">
        <v>1.2392200000000001E-2</v>
      </c>
      <c r="E13" s="155">
        <v>7.4049300000000005E-4</v>
      </c>
      <c r="F13" s="155">
        <v>3.9718400000000002E-4</v>
      </c>
      <c r="G13" s="155">
        <v>3.8341100000000001E-4</v>
      </c>
    </row>
    <row r="14" spans="2:7" ht="29">
      <c r="B14" s="154" t="s">
        <v>219</v>
      </c>
      <c r="C14" s="154" t="s">
        <v>220</v>
      </c>
      <c r="D14" s="155">
        <v>5.6085000000000003E-5</v>
      </c>
      <c r="E14" s="155">
        <v>1.0287E-5</v>
      </c>
      <c r="F14" s="155">
        <v>5.5964000000000003E-6</v>
      </c>
      <c r="G14" s="155">
        <v>4.9006899999999997E-6</v>
      </c>
    </row>
    <row r="15" spans="2:7">
      <c r="B15" s="154" t="s">
        <v>221</v>
      </c>
      <c r="C15" s="154" t="s">
        <v>222</v>
      </c>
      <c r="D15" s="155">
        <v>1.0574899999999999E-5</v>
      </c>
      <c r="E15" s="155">
        <v>3.4687300000000002E-5</v>
      </c>
      <c r="F15" s="155">
        <v>2.8572699999999998E-5</v>
      </c>
      <c r="G15" s="155">
        <v>2.7570099999999999E-5</v>
      </c>
    </row>
    <row r="16" spans="2:7">
      <c r="B16" s="154" t="s">
        <v>223</v>
      </c>
      <c r="C16" s="154" t="s">
        <v>224</v>
      </c>
      <c r="D16" s="155">
        <v>7.1914899999999998E-4</v>
      </c>
      <c r="E16" s="155">
        <v>6.8789800000000005E-4</v>
      </c>
      <c r="F16" s="155">
        <v>6.4199299999999999E-4</v>
      </c>
      <c r="G16" s="155">
        <v>6.2473800000000001E-4</v>
      </c>
    </row>
    <row r="17" spans="2:7">
      <c r="B17" s="154" t="s">
        <v>225</v>
      </c>
      <c r="C17" s="154" t="s">
        <v>226</v>
      </c>
      <c r="D17" s="155">
        <v>5.9766299999999997E-8</v>
      </c>
      <c r="E17" s="155">
        <v>1.26077E-8</v>
      </c>
      <c r="F17" s="155">
        <v>3.2962400000000002E-9</v>
      </c>
      <c r="G17" s="155">
        <v>2.6927E-9</v>
      </c>
    </row>
    <row r="18" spans="2:7">
      <c r="B18" s="154" t="s">
        <v>227</v>
      </c>
      <c r="C18" s="154" t="s">
        <v>228</v>
      </c>
      <c r="D18" s="155">
        <v>6.5863400000000004E-5</v>
      </c>
      <c r="E18" s="155">
        <v>7.6803800000000005E-5</v>
      </c>
      <c r="F18" s="155">
        <v>3.4273500000000003E-5</v>
      </c>
      <c r="G18" s="155">
        <v>2.9092399999999999E-5</v>
      </c>
    </row>
    <row r="19" spans="2:7" ht="15.65" customHeight="1">
      <c r="B19" s="154" t="s">
        <v>229</v>
      </c>
      <c r="C19" s="154" t="s">
        <v>230</v>
      </c>
      <c r="D19" s="155">
        <v>7.5893300000000005E-4</v>
      </c>
      <c r="E19" s="155">
        <v>3.8988899999999998E-4</v>
      </c>
      <c r="F19" s="155">
        <v>1.8373200000000001E-4</v>
      </c>
      <c r="G19" s="155">
        <v>1.5269599999999999E-4</v>
      </c>
    </row>
    <row r="20" spans="2:7">
      <c r="B20" s="154" t="s">
        <v>231</v>
      </c>
      <c r="C20" s="154" t="s">
        <v>207</v>
      </c>
      <c r="D20" s="155">
        <v>3.1617799999999998E-9</v>
      </c>
      <c r="E20" s="155">
        <v>3.9390799999999996E-9</v>
      </c>
      <c r="F20" s="155">
        <v>1.20615E-9</v>
      </c>
      <c r="G20" s="155">
        <v>1.01839E-9</v>
      </c>
    </row>
    <row r="21" spans="2:7">
      <c r="B21" s="154" t="s">
        <v>232</v>
      </c>
      <c r="C21" s="154" t="s">
        <v>233</v>
      </c>
      <c r="D21" s="155">
        <v>0.93284199999999995</v>
      </c>
      <c r="E21" s="155">
        <v>4.7464199999999998E-2</v>
      </c>
      <c r="F21" s="155">
        <v>2.0453200000000001E-2</v>
      </c>
      <c r="G21" s="155">
        <v>1.1667200000000001E-2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0"/>
  <sheetViews>
    <sheetView zoomScale="70" zoomScaleNormal="70" workbookViewId="0">
      <selection activeCell="G41" sqref="G41"/>
    </sheetView>
  </sheetViews>
  <sheetFormatPr defaultColWidth="30.7265625" defaultRowHeight="20"/>
  <cols>
    <col min="1" max="1" width="60.453125" style="1" customWidth="1"/>
    <col min="2" max="2" width="24.1796875" style="172" customWidth="1"/>
    <col min="3" max="3" width="22.7265625" style="1" customWidth="1"/>
    <col min="4" max="6" width="30.7265625" style="1"/>
    <col min="7" max="7" width="62.453125" style="1" customWidth="1"/>
    <col min="8" max="8" width="30.7265625" style="1"/>
    <col min="9" max="9" width="0" style="1" hidden="1" customWidth="1"/>
    <col min="10" max="16384" width="30.7265625" style="1"/>
  </cols>
  <sheetData>
    <row r="1" spans="1:11">
      <c r="A1" s="19" t="s">
        <v>7</v>
      </c>
      <c r="B1" s="170">
        <v>1000</v>
      </c>
    </row>
    <row r="2" spans="1:11">
      <c r="A2" s="19" t="s">
        <v>12</v>
      </c>
      <c r="B2" s="170">
        <v>1000</v>
      </c>
    </row>
    <row r="3" spans="1:11" ht="20.5" thickBot="1"/>
    <row r="4" spans="1:11" s="2" customFormat="1" ht="63" customHeight="1">
      <c r="A4" s="195" t="s">
        <v>263</v>
      </c>
      <c r="B4" s="196" t="s">
        <v>37</v>
      </c>
      <c r="C4" s="197" t="s">
        <v>38</v>
      </c>
    </row>
    <row r="5" spans="1:11">
      <c r="A5" s="164" t="s">
        <v>115</v>
      </c>
      <c r="B5" s="171"/>
      <c r="C5" s="189"/>
      <c r="H5" s="165" t="s">
        <v>86</v>
      </c>
      <c r="I5" s="169">
        <f>B23</f>
        <v>1039.5</v>
      </c>
      <c r="J5" s="1">
        <v>1040</v>
      </c>
      <c r="K5" s="1" t="s">
        <v>1</v>
      </c>
    </row>
    <row r="6" spans="1:11">
      <c r="A6" s="165" t="s">
        <v>56</v>
      </c>
      <c r="B6" s="172">
        <v>4.3680000000000003</v>
      </c>
      <c r="C6" s="190" t="s">
        <v>1</v>
      </c>
      <c r="D6" s="1">
        <v>4.16</v>
      </c>
      <c r="E6" s="1">
        <f>B6/D6</f>
        <v>1.05</v>
      </c>
      <c r="F6" s="169"/>
      <c r="G6" s="165" t="s">
        <v>56</v>
      </c>
      <c r="H6" s="165" t="s">
        <v>84</v>
      </c>
      <c r="I6" s="169">
        <f>B22+B21</f>
        <v>781.19999999999993</v>
      </c>
      <c r="J6" s="1">
        <v>780</v>
      </c>
      <c r="K6" s="1" t="s">
        <v>1</v>
      </c>
    </row>
    <row r="7" spans="1:11">
      <c r="A7" s="165" t="s">
        <v>59</v>
      </c>
      <c r="B7" s="172">
        <v>54.389999999999993</v>
      </c>
      <c r="C7" s="190" t="s">
        <v>1</v>
      </c>
      <c r="D7" s="1">
        <v>51.8</v>
      </c>
      <c r="E7" s="1">
        <f>B7/D7</f>
        <v>1.0499999999999998</v>
      </c>
      <c r="F7" s="169"/>
      <c r="G7" s="165" t="s">
        <v>59</v>
      </c>
      <c r="H7" s="165" t="s">
        <v>59</v>
      </c>
      <c r="I7" s="169">
        <f>B7</f>
        <v>54.389999999999993</v>
      </c>
      <c r="J7" s="1">
        <v>55</v>
      </c>
      <c r="K7" s="1" t="s">
        <v>1</v>
      </c>
    </row>
    <row r="8" spans="1:11">
      <c r="A8" s="165" t="s">
        <v>61</v>
      </c>
      <c r="B8" s="172">
        <v>2.5200000000000005</v>
      </c>
      <c r="C8" s="190" t="s">
        <v>1</v>
      </c>
      <c r="D8" s="1">
        <v>2.4</v>
      </c>
      <c r="E8" s="1">
        <f t="shared" ref="E8:E29" si="0">B8/D8</f>
        <v>1.0500000000000003</v>
      </c>
      <c r="F8" s="169" t="s">
        <v>281</v>
      </c>
      <c r="G8" s="165" t="s">
        <v>61</v>
      </c>
      <c r="H8" s="1" t="s">
        <v>284</v>
      </c>
      <c r="I8" s="169">
        <f>B8+B9+B10+B28+B17</f>
        <v>37.500749999999996</v>
      </c>
      <c r="J8" s="1">
        <v>38</v>
      </c>
      <c r="K8" s="1" t="s">
        <v>1</v>
      </c>
    </row>
    <row r="9" spans="1:11">
      <c r="A9" s="165" t="s">
        <v>62</v>
      </c>
      <c r="B9" s="172">
        <v>21.21</v>
      </c>
      <c r="C9" s="190" t="s">
        <v>1</v>
      </c>
      <c r="D9" s="1">
        <v>20.2</v>
      </c>
      <c r="E9" s="1">
        <f t="shared" si="0"/>
        <v>1.05</v>
      </c>
      <c r="F9" s="169"/>
      <c r="G9" s="165" t="s">
        <v>62</v>
      </c>
      <c r="H9" s="165" t="s">
        <v>274</v>
      </c>
      <c r="I9" s="151">
        <f>B24</f>
        <v>1.6800000000000001E-3</v>
      </c>
      <c r="J9" s="151">
        <v>1.6999999999999999E-3</v>
      </c>
      <c r="K9" s="1" t="s">
        <v>1</v>
      </c>
    </row>
    <row r="10" spans="1:11">
      <c r="A10" s="7" t="s">
        <v>64</v>
      </c>
      <c r="B10" s="172">
        <v>6.11625</v>
      </c>
      <c r="C10" s="190" t="s">
        <v>1</v>
      </c>
      <c r="D10" s="250">
        <f>B10/1.05</f>
        <v>5.8249999999999993</v>
      </c>
      <c r="E10" s="1">
        <f t="shared" si="0"/>
        <v>1.05</v>
      </c>
      <c r="F10" s="169" t="s">
        <v>281</v>
      </c>
      <c r="G10" s="7" t="s">
        <v>64</v>
      </c>
      <c r="H10" s="165" t="s">
        <v>286</v>
      </c>
      <c r="I10" s="169">
        <f>B18+B19+B20</f>
        <v>175.35000000000002</v>
      </c>
      <c r="J10" s="1">
        <v>175</v>
      </c>
      <c r="K10" s="1" t="s">
        <v>1</v>
      </c>
    </row>
    <row r="11" spans="1:11">
      <c r="A11" s="165" t="s">
        <v>66</v>
      </c>
      <c r="B11" s="172">
        <v>19.425000000000001</v>
      </c>
      <c r="C11" s="190" t="s">
        <v>1</v>
      </c>
      <c r="D11" s="1">
        <v>18.5</v>
      </c>
      <c r="E11" s="1">
        <f t="shared" si="0"/>
        <v>1.05</v>
      </c>
      <c r="F11" s="169"/>
      <c r="G11" s="165" t="s">
        <v>66</v>
      </c>
      <c r="H11" s="165" t="s">
        <v>90</v>
      </c>
      <c r="I11" s="169">
        <f>B26</f>
        <v>46.305000000000007</v>
      </c>
      <c r="J11" s="1">
        <v>46</v>
      </c>
      <c r="K11" s="1" t="s">
        <v>1</v>
      </c>
    </row>
    <row r="12" spans="1:11">
      <c r="A12" s="165" t="s">
        <v>68</v>
      </c>
      <c r="B12" s="172">
        <v>5.0400000000000009</v>
      </c>
      <c r="C12" s="190" t="s">
        <v>1</v>
      </c>
      <c r="D12" s="1">
        <v>4.8</v>
      </c>
      <c r="E12" s="1">
        <f t="shared" si="0"/>
        <v>1.0500000000000003</v>
      </c>
      <c r="F12" s="169"/>
      <c r="G12" s="165" t="s">
        <v>68</v>
      </c>
      <c r="H12" s="1" t="s">
        <v>290</v>
      </c>
      <c r="I12" s="169">
        <f>B13</f>
        <v>31.605</v>
      </c>
      <c r="J12" s="1">
        <v>32</v>
      </c>
      <c r="K12" s="1" t="s">
        <v>1</v>
      </c>
    </row>
    <row r="13" spans="1:11">
      <c r="A13" s="165" t="s">
        <v>70</v>
      </c>
      <c r="B13" s="172">
        <v>31.605</v>
      </c>
      <c r="C13" s="190" t="s">
        <v>1</v>
      </c>
      <c r="D13" s="1">
        <v>30.1</v>
      </c>
      <c r="E13" s="1">
        <f t="shared" si="0"/>
        <v>1.05</v>
      </c>
      <c r="F13" s="169"/>
      <c r="G13" s="165" t="s">
        <v>70</v>
      </c>
      <c r="H13" s="7" t="s">
        <v>64</v>
      </c>
      <c r="I13" s="169">
        <f>B10</f>
        <v>6.11625</v>
      </c>
      <c r="J13" s="1">
        <v>6.1</v>
      </c>
      <c r="K13" s="1" t="s">
        <v>1</v>
      </c>
    </row>
    <row r="14" spans="1:11">
      <c r="A14" s="165" t="s">
        <v>72</v>
      </c>
      <c r="B14" s="172">
        <v>2331</v>
      </c>
      <c r="C14" s="190" t="s">
        <v>73</v>
      </c>
      <c r="D14" s="1">
        <v>2220</v>
      </c>
      <c r="E14" s="1">
        <f t="shared" si="0"/>
        <v>1.05</v>
      </c>
      <c r="F14" s="169"/>
      <c r="G14" s="165" t="s">
        <v>72</v>
      </c>
      <c r="H14" s="165" t="s">
        <v>289</v>
      </c>
      <c r="I14" s="169">
        <f>B11+B6+B12+B25</f>
        <v>29.672999999999998</v>
      </c>
      <c r="J14" s="1">
        <v>30</v>
      </c>
      <c r="K14" s="1" t="s">
        <v>1</v>
      </c>
    </row>
    <row r="15" spans="1:11">
      <c r="A15" s="165" t="s">
        <v>76</v>
      </c>
      <c r="B15" s="172">
        <v>13.65</v>
      </c>
      <c r="C15" s="190" t="s">
        <v>1</v>
      </c>
      <c r="D15" s="1">
        <v>13</v>
      </c>
      <c r="E15" s="1">
        <f t="shared" si="0"/>
        <v>1.05</v>
      </c>
      <c r="F15" s="169"/>
      <c r="G15" s="165" t="s">
        <v>76</v>
      </c>
      <c r="H15" s="165" t="s">
        <v>92</v>
      </c>
      <c r="I15" s="172">
        <f>B27</f>
        <v>3381</v>
      </c>
      <c r="J15" s="1">
        <v>3400</v>
      </c>
      <c r="K15" s="1" t="s">
        <v>1</v>
      </c>
    </row>
    <row r="16" spans="1:11">
      <c r="A16" s="165" t="s">
        <v>101</v>
      </c>
      <c r="B16" s="172">
        <v>66.150000000000006</v>
      </c>
      <c r="C16" s="190" t="s">
        <v>73</v>
      </c>
      <c r="D16" s="1">
        <v>63</v>
      </c>
      <c r="E16" s="1">
        <f t="shared" si="0"/>
        <v>1.05</v>
      </c>
      <c r="F16" s="169"/>
      <c r="G16" s="165" t="s">
        <v>101</v>
      </c>
      <c r="H16" s="165" t="s">
        <v>72</v>
      </c>
      <c r="I16" s="169">
        <f>B14+B16</f>
        <v>2397.15</v>
      </c>
      <c r="J16" s="1">
        <v>2400</v>
      </c>
      <c r="K16" s="1" t="s">
        <v>73</v>
      </c>
    </row>
    <row r="17" spans="1:11">
      <c r="A17" s="165" t="s">
        <v>78</v>
      </c>
      <c r="B17" s="172">
        <v>1.47</v>
      </c>
      <c r="C17" s="190" t="s">
        <v>1</v>
      </c>
      <c r="D17" s="1">
        <v>1.4</v>
      </c>
      <c r="E17" s="1">
        <f t="shared" si="0"/>
        <v>1.05</v>
      </c>
      <c r="F17" s="169"/>
      <c r="G17" s="165" t="s">
        <v>78</v>
      </c>
      <c r="H17" s="166" t="s">
        <v>105</v>
      </c>
      <c r="I17" s="169">
        <f>B29</f>
        <v>2247</v>
      </c>
      <c r="J17" s="1">
        <v>2250</v>
      </c>
      <c r="K17" s="1" t="s">
        <v>2</v>
      </c>
    </row>
    <row r="18" spans="1:11">
      <c r="A18" s="165" t="s">
        <v>80</v>
      </c>
      <c r="B18" s="172">
        <v>107.1</v>
      </c>
      <c r="C18" s="190" t="s">
        <v>1</v>
      </c>
      <c r="D18" s="1">
        <v>102</v>
      </c>
      <c r="E18" s="1">
        <f t="shared" si="0"/>
        <v>1.05</v>
      </c>
      <c r="G18" s="165" t="s">
        <v>286</v>
      </c>
    </row>
    <row r="19" spans="1:11">
      <c r="A19" s="165" t="s">
        <v>44</v>
      </c>
      <c r="B19" s="172">
        <v>51.45000000000001</v>
      </c>
      <c r="C19" s="190" t="s">
        <v>1</v>
      </c>
      <c r="D19" s="1">
        <v>49</v>
      </c>
      <c r="E19" s="1">
        <f t="shared" si="0"/>
        <v>1.0500000000000003</v>
      </c>
      <c r="G19" s="165" t="s">
        <v>44</v>
      </c>
    </row>
    <row r="20" spans="1:11">
      <c r="A20" s="165" t="s">
        <v>82</v>
      </c>
      <c r="B20" s="172">
        <v>16.8</v>
      </c>
      <c r="C20" s="190" t="s">
        <v>1</v>
      </c>
      <c r="D20" s="1">
        <v>16</v>
      </c>
      <c r="E20" s="1">
        <f t="shared" si="0"/>
        <v>1.05</v>
      </c>
      <c r="G20" s="165" t="s">
        <v>82</v>
      </c>
    </row>
    <row r="21" spans="1:11">
      <c r="A21" s="165" t="s">
        <v>83</v>
      </c>
      <c r="B21" s="172">
        <v>213.15</v>
      </c>
      <c r="C21" s="190" t="s">
        <v>1</v>
      </c>
      <c r="D21" s="1">
        <v>203</v>
      </c>
      <c r="E21" s="1">
        <f t="shared" si="0"/>
        <v>1.05</v>
      </c>
      <c r="G21" s="165" t="s">
        <v>83</v>
      </c>
      <c r="H21" s="1" t="s">
        <v>287</v>
      </c>
    </row>
    <row r="22" spans="1:11">
      <c r="A22" s="165" t="s">
        <v>84</v>
      </c>
      <c r="B22" s="172">
        <v>568.04999999999995</v>
      </c>
      <c r="C22" s="190" t="s">
        <v>1</v>
      </c>
      <c r="D22" s="1">
        <v>541</v>
      </c>
      <c r="E22" s="1">
        <f t="shared" si="0"/>
        <v>1.0499999999999998</v>
      </c>
      <c r="G22" s="165" t="s">
        <v>84</v>
      </c>
    </row>
    <row r="23" spans="1:11">
      <c r="A23" s="165" t="s">
        <v>86</v>
      </c>
      <c r="B23" s="172">
        <v>1039.5</v>
      </c>
      <c r="C23" s="190" t="s">
        <v>1</v>
      </c>
      <c r="D23" s="1">
        <f>891+99</f>
        <v>990</v>
      </c>
      <c r="E23" s="1">
        <f t="shared" si="0"/>
        <v>1.05</v>
      </c>
      <c r="G23" s="165" t="s">
        <v>86</v>
      </c>
    </row>
    <row r="24" spans="1:11">
      <c r="A24" s="165" t="s">
        <v>274</v>
      </c>
      <c r="B24" s="252">
        <f>1.05*D24</f>
        <v>1.6800000000000001E-3</v>
      </c>
      <c r="C24" s="190"/>
      <c r="D24" s="151">
        <v>1.6000000000000001E-3</v>
      </c>
      <c r="E24" s="1">
        <f t="shared" si="0"/>
        <v>1.05</v>
      </c>
      <c r="F24" s="1" t="s">
        <v>278</v>
      </c>
      <c r="G24" s="165" t="s">
        <v>274</v>
      </c>
    </row>
    <row r="25" spans="1:11">
      <c r="A25" s="165" t="s">
        <v>88</v>
      </c>
      <c r="B25" s="172">
        <v>0.84</v>
      </c>
      <c r="C25" s="190" t="s">
        <v>1</v>
      </c>
      <c r="D25" s="1">
        <v>0.8</v>
      </c>
      <c r="E25" s="1">
        <f t="shared" si="0"/>
        <v>1.0499999999999998</v>
      </c>
      <c r="G25" s="165" t="s">
        <v>88</v>
      </c>
    </row>
    <row r="26" spans="1:11">
      <c r="A26" s="165" t="s">
        <v>90</v>
      </c>
      <c r="B26" s="172">
        <v>46.305000000000007</v>
      </c>
      <c r="C26" s="190" t="s">
        <v>1</v>
      </c>
      <c r="D26" s="1">
        <v>44.1</v>
      </c>
      <c r="E26" s="1">
        <f t="shared" si="0"/>
        <v>1.05</v>
      </c>
      <c r="G26" s="165" t="s">
        <v>90</v>
      </c>
    </row>
    <row r="27" spans="1:11">
      <c r="A27" s="165" t="s">
        <v>92</v>
      </c>
      <c r="B27" s="172">
        <v>3381</v>
      </c>
      <c r="C27" s="190" t="s">
        <v>1</v>
      </c>
      <c r="D27" s="1">
        <v>3220</v>
      </c>
      <c r="E27" s="1">
        <f t="shared" si="0"/>
        <v>1.05</v>
      </c>
      <c r="G27" s="165" t="s">
        <v>92</v>
      </c>
    </row>
    <row r="28" spans="1:11">
      <c r="A28" s="165" t="s">
        <v>99</v>
      </c>
      <c r="B28" s="172">
        <v>6.1844999999999999</v>
      </c>
      <c r="C28" s="190" t="s">
        <v>1</v>
      </c>
      <c r="D28" s="1">
        <v>5.89</v>
      </c>
      <c r="E28" s="1">
        <f t="shared" si="0"/>
        <v>1.05</v>
      </c>
      <c r="G28" s="165" t="s">
        <v>99</v>
      </c>
      <c r="H28" s="1" t="s">
        <v>285</v>
      </c>
    </row>
    <row r="29" spans="1:11">
      <c r="A29" s="166" t="s">
        <v>105</v>
      </c>
      <c r="B29" s="249">
        <f>D29*1.05</f>
        <v>2247</v>
      </c>
      <c r="C29" s="191" t="s">
        <v>2</v>
      </c>
      <c r="D29" s="248">
        <v>2140</v>
      </c>
      <c r="E29" s="1">
        <f t="shared" si="0"/>
        <v>1.05</v>
      </c>
      <c r="F29" s="1" t="s">
        <v>279</v>
      </c>
      <c r="G29" s="166" t="s">
        <v>105</v>
      </c>
    </row>
    <row r="30" spans="1:11" ht="43.5" customHeight="1">
      <c r="A30" s="167" t="s">
        <v>256</v>
      </c>
      <c r="B30" s="1">
        <f>SUM(B6:B29)</f>
        <v>10234.325430000001</v>
      </c>
      <c r="C30" s="192"/>
      <c r="D30" s="1">
        <f>SUM(D6:D29)</f>
        <v>9746.9766</v>
      </c>
      <c r="I30" s="1">
        <f>SUM(I6:I28)</f>
        <v>9187.2916800000003</v>
      </c>
    </row>
    <row r="31" spans="1:11">
      <c r="A31" s="165" t="s">
        <v>94</v>
      </c>
      <c r="B31" s="172">
        <v>3.7100000000000002E-3</v>
      </c>
      <c r="C31" s="193" t="s">
        <v>14</v>
      </c>
      <c r="D31" s="1">
        <v>530</v>
      </c>
      <c r="E31" s="1">
        <f>B31*150000/D31</f>
        <v>1.05</v>
      </c>
    </row>
    <row r="32" spans="1:11">
      <c r="A32" s="165" t="s">
        <v>141</v>
      </c>
      <c r="B32" s="172">
        <v>3.9382000000000002E-4</v>
      </c>
      <c r="C32" s="193" t="s">
        <v>14</v>
      </c>
      <c r="D32" s="1">
        <v>53</v>
      </c>
      <c r="E32" s="1">
        <f t="shared" ref="E32" si="1">B32*150000/D32</f>
        <v>1.1145849056603774</v>
      </c>
    </row>
    <row r="33" spans="1:6">
      <c r="A33" s="166" t="s">
        <v>97</v>
      </c>
      <c r="B33" s="173">
        <v>6.933333333333333E-2</v>
      </c>
      <c r="C33" s="194" t="s">
        <v>14</v>
      </c>
      <c r="E33" s="1">
        <f>B33*150000</f>
        <v>10400</v>
      </c>
    </row>
    <row r="34" spans="1:6" ht="40">
      <c r="A34" s="167" t="s">
        <v>258</v>
      </c>
      <c r="B34" s="174" t="s">
        <v>257</v>
      </c>
      <c r="C34" s="192"/>
    </row>
    <row r="35" spans="1:6">
      <c r="A35" s="165" t="s">
        <v>178</v>
      </c>
      <c r="B35" s="172">
        <v>6.19047619047619E-2</v>
      </c>
      <c r="C35" s="193" t="s">
        <v>1</v>
      </c>
    </row>
    <row r="36" spans="1:6">
      <c r="A36" s="166" t="s">
        <v>183</v>
      </c>
      <c r="B36" s="173">
        <v>6.19047619047619E-2</v>
      </c>
      <c r="C36" s="194" t="s">
        <v>1</v>
      </c>
    </row>
    <row r="37" spans="1:6" ht="38">
      <c r="A37" s="167" t="s">
        <v>261</v>
      </c>
      <c r="B37" s="174"/>
      <c r="C37" s="192"/>
    </row>
    <row r="38" spans="1:6">
      <c r="A38" s="165" t="s">
        <v>143</v>
      </c>
      <c r="C38" s="193" t="s">
        <v>1</v>
      </c>
    </row>
    <row r="39" spans="1:6">
      <c r="A39" s="165" t="s">
        <v>144</v>
      </c>
      <c r="C39" s="193" t="s">
        <v>1</v>
      </c>
    </row>
    <row r="40" spans="1:6">
      <c r="A40" s="165" t="s">
        <v>145</v>
      </c>
      <c r="C40" s="193" t="s">
        <v>1</v>
      </c>
    </row>
    <row r="41" spans="1:6">
      <c r="A41" s="165" t="s">
        <v>146</v>
      </c>
      <c r="B41" s="175"/>
      <c r="C41" s="193" t="s">
        <v>1</v>
      </c>
    </row>
    <row r="42" spans="1:6" ht="20.5" thickBot="1">
      <c r="A42" s="198" t="s">
        <v>142</v>
      </c>
      <c r="B42" s="199"/>
      <c r="C42" s="200" t="s">
        <v>1</v>
      </c>
      <c r="F42" s="1" t="s">
        <v>280</v>
      </c>
    </row>
    <row r="43" spans="1:6" ht="20.5" thickBot="1">
      <c r="C43" s="3"/>
    </row>
    <row r="44" spans="1:6" ht="40.5" thickBot="1">
      <c r="A44" s="183" t="s">
        <v>262</v>
      </c>
      <c r="B44" s="203" t="s">
        <v>37</v>
      </c>
      <c r="C44" s="184" t="s">
        <v>38</v>
      </c>
    </row>
    <row r="45" spans="1:6">
      <c r="A45" s="12" t="s">
        <v>115</v>
      </c>
      <c r="B45" s="176"/>
      <c r="C45" s="201"/>
    </row>
    <row r="46" spans="1:6">
      <c r="A46" s="165" t="s">
        <v>56</v>
      </c>
      <c r="B46" s="172">
        <v>4.16</v>
      </c>
      <c r="C46" s="190" t="s">
        <v>1</v>
      </c>
    </row>
    <row r="47" spans="1:6">
      <c r="A47" s="165" t="s">
        <v>147</v>
      </c>
      <c r="B47" s="172">
        <v>82</v>
      </c>
      <c r="C47" s="190" t="s">
        <v>1</v>
      </c>
    </row>
    <row r="48" spans="1:6">
      <c r="A48" s="165" t="s">
        <v>148</v>
      </c>
      <c r="B48" s="172">
        <v>287.10000000000002</v>
      </c>
      <c r="C48" s="190" t="s">
        <v>1</v>
      </c>
    </row>
    <row r="49" spans="1:5">
      <c r="A49" s="165" t="s">
        <v>149</v>
      </c>
      <c r="B49" s="172">
        <v>23.3</v>
      </c>
      <c r="C49" s="190" t="s">
        <v>1</v>
      </c>
    </row>
    <row r="50" spans="1:5">
      <c r="A50" s="165" t="s">
        <v>68</v>
      </c>
      <c r="B50" s="172">
        <v>14.600000000000001</v>
      </c>
      <c r="C50" s="190" t="s">
        <v>1</v>
      </c>
    </row>
    <row r="51" spans="1:5">
      <c r="A51" s="165" t="s">
        <v>150</v>
      </c>
      <c r="B51" s="172">
        <v>162.9</v>
      </c>
      <c r="C51" s="190" t="s">
        <v>1</v>
      </c>
    </row>
    <row r="52" spans="1:5">
      <c r="A52" s="165" t="s">
        <v>70</v>
      </c>
      <c r="B52" s="172">
        <v>49</v>
      </c>
      <c r="C52" s="190" t="s">
        <v>1</v>
      </c>
    </row>
    <row r="53" spans="1:5">
      <c r="A53" s="165" t="s">
        <v>124</v>
      </c>
      <c r="B53" s="172">
        <v>3.4</v>
      </c>
      <c r="C53" s="190" t="s">
        <v>1</v>
      </c>
    </row>
    <row r="54" spans="1:5">
      <c r="A54" s="165" t="s">
        <v>151</v>
      </c>
      <c r="B54" s="172">
        <v>76.5</v>
      </c>
      <c r="C54" s="190" t="s">
        <v>1</v>
      </c>
    </row>
    <row r="55" spans="1:5">
      <c r="A55" s="165" t="s">
        <v>152</v>
      </c>
      <c r="B55" s="172">
        <v>953.4</v>
      </c>
      <c r="C55" s="190" t="s">
        <v>1</v>
      </c>
    </row>
    <row r="56" spans="1:5">
      <c r="A56" s="165" t="s">
        <v>153</v>
      </c>
      <c r="B56" s="172">
        <v>162.9</v>
      </c>
      <c r="C56" s="190" t="s">
        <v>1</v>
      </c>
    </row>
    <row r="57" spans="1:5">
      <c r="A57" s="165" t="s">
        <v>154</v>
      </c>
      <c r="B57" s="172">
        <v>9.1</v>
      </c>
      <c r="C57" s="190" t="s">
        <v>1</v>
      </c>
    </row>
    <row r="58" spans="1:5">
      <c r="A58" s="165" t="s">
        <v>86</v>
      </c>
      <c r="B58" s="172">
        <v>953.4</v>
      </c>
      <c r="C58" s="190" t="s">
        <v>1</v>
      </c>
    </row>
    <row r="59" spans="1:5">
      <c r="A59" s="166" t="s">
        <v>90</v>
      </c>
      <c r="B59" s="173">
        <v>53.3</v>
      </c>
      <c r="C59" s="191" t="s">
        <v>1</v>
      </c>
    </row>
    <row r="60" spans="1:5" ht="40">
      <c r="A60" s="167" t="s">
        <v>256</v>
      </c>
      <c r="B60" s="174" t="s">
        <v>257</v>
      </c>
      <c r="C60" s="192"/>
    </row>
    <row r="61" spans="1:5">
      <c r="A61" s="165" t="s">
        <v>94</v>
      </c>
      <c r="B61" s="172">
        <v>2.4733333333333335E-3</v>
      </c>
      <c r="C61" s="193" t="s">
        <v>14</v>
      </c>
      <c r="E61" s="1">
        <f>B61*225000</f>
        <v>556.5</v>
      </c>
    </row>
    <row r="62" spans="1:5">
      <c r="A62" s="165" t="s">
        <v>141</v>
      </c>
      <c r="B62" s="172">
        <v>2.6254666666666664E-4</v>
      </c>
      <c r="C62" s="193" t="s">
        <v>14</v>
      </c>
      <c r="E62" s="1">
        <f t="shared" ref="E62:E63" si="2">B62*225000</f>
        <v>59.072999999999993</v>
      </c>
    </row>
    <row r="63" spans="1:5">
      <c r="A63" s="166" t="s">
        <v>97</v>
      </c>
      <c r="B63" s="173">
        <v>4.2373333333333332E-2</v>
      </c>
      <c r="C63" s="194" t="s">
        <v>14</v>
      </c>
      <c r="E63" s="1">
        <f t="shared" si="2"/>
        <v>9534</v>
      </c>
    </row>
    <row r="64" spans="1:5" ht="40">
      <c r="A64" s="167" t="s">
        <v>258</v>
      </c>
      <c r="B64" s="174" t="s">
        <v>257</v>
      </c>
      <c r="C64" s="192"/>
    </row>
    <row r="65" spans="1:3">
      <c r="A65" s="165" t="s">
        <v>184</v>
      </c>
      <c r="B65" s="172">
        <v>0.26</v>
      </c>
      <c r="C65" s="193" t="s">
        <v>2</v>
      </c>
    </row>
    <row r="66" spans="1:3">
      <c r="A66" s="12" t="s">
        <v>260</v>
      </c>
      <c r="C66" s="193"/>
    </row>
    <row r="67" spans="1:3">
      <c r="A67" s="165" t="s">
        <v>160</v>
      </c>
      <c r="B67" s="172">
        <v>0.26</v>
      </c>
      <c r="C67" s="193" t="s">
        <v>2</v>
      </c>
    </row>
    <row r="68" spans="1:3">
      <c r="A68" s="165" t="s">
        <v>161</v>
      </c>
      <c r="B68" s="172">
        <v>0.26</v>
      </c>
      <c r="C68" s="193" t="s">
        <v>2</v>
      </c>
    </row>
    <row r="69" spans="1:3">
      <c r="A69" s="168" t="s">
        <v>246</v>
      </c>
      <c r="B69" s="173">
        <v>0.26</v>
      </c>
      <c r="C69" s="194" t="s">
        <v>2</v>
      </c>
    </row>
    <row r="70" spans="1:3">
      <c r="A70" s="6" t="s">
        <v>5</v>
      </c>
      <c r="B70" s="177"/>
      <c r="C70" s="202"/>
    </row>
    <row r="71" spans="1:3">
      <c r="A71" s="18" t="s">
        <v>155</v>
      </c>
      <c r="B71" s="172">
        <v>956.9</v>
      </c>
      <c r="C71" s="190" t="s">
        <v>1</v>
      </c>
    </row>
    <row r="72" spans="1:3">
      <c r="A72" s="163" t="s">
        <v>259</v>
      </c>
      <c r="C72" s="190"/>
    </row>
    <row r="73" spans="1:3">
      <c r="A73" s="18" t="s">
        <v>156</v>
      </c>
      <c r="C73" s="190" t="s">
        <v>1</v>
      </c>
    </row>
    <row r="74" spans="1:3">
      <c r="A74" s="18" t="s">
        <v>157</v>
      </c>
      <c r="C74" s="190" t="s">
        <v>1</v>
      </c>
    </row>
    <row r="75" spans="1:3">
      <c r="A75" s="18" t="s">
        <v>158</v>
      </c>
      <c r="C75" s="190" t="s">
        <v>1</v>
      </c>
    </row>
    <row r="76" spans="1:3">
      <c r="A76" s="18" t="s">
        <v>136</v>
      </c>
      <c r="C76" s="190" t="s">
        <v>1</v>
      </c>
    </row>
    <row r="77" spans="1:3" ht="20.5" thickBot="1">
      <c r="A77" s="204" t="s">
        <v>142</v>
      </c>
      <c r="B77" s="199"/>
      <c r="C77" s="205" t="s">
        <v>1</v>
      </c>
    </row>
    <row r="78" spans="1:3">
      <c r="A78" s="21"/>
      <c r="B78" s="303"/>
      <c r="C78" s="304"/>
    </row>
    <row r="79" spans="1:3">
      <c r="A79" s="21"/>
      <c r="B79" s="178"/>
      <c r="C79" s="49"/>
    </row>
    <row r="80" spans="1:3">
      <c r="A80" s="21"/>
      <c r="B80" s="178"/>
      <c r="C80" s="49"/>
    </row>
  </sheetData>
  <mergeCells count="1">
    <mergeCell ref="B78:C78"/>
  </mergeCells>
  <pageMargins left="0.7" right="0.7" top="0.75" bottom="0.75" header="0.3" footer="0.3"/>
  <pageSetup orientation="portrait" horizontalDpi="1200" verticalDpi="12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b3f01c3-7657-47ac-91fe-aaf76832b51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1E87AD8AD2D7E04FA9AB4C9431D6D3A2" ma:contentTypeVersion="14" ma:contentTypeDescription="Opret et nyt dokument." ma:contentTypeScope="" ma:versionID="c7e982ea9d285447d7f50d2bdadd5217">
  <xsd:schema xmlns:xsd="http://www.w3.org/2001/XMLSchema" xmlns:xs="http://www.w3.org/2001/XMLSchema" xmlns:p="http://schemas.microsoft.com/office/2006/metadata/properties" xmlns:ns3="fb3f01c3-7657-47ac-91fe-aaf76832b51e" xmlns:ns4="b373e9f6-3e56-409e-a7d5-bfed8f1254e7" targetNamespace="http://schemas.microsoft.com/office/2006/metadata/properties" ma:root="true" ma:fieldsID="0fefb8b609bdb38b54111414d6e5970a" ns3:_="" ns4:_="">
    <xsd:import namespace="fb3f01c3-7657-47ac-91fe-aaf76832b51e"/>
    <xsd:import namespace="b373e9f6-3e56-409e-a7d5-bfed8f1254e7"/>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_activity" minOccurs="0"/>
                <xsd:element ref="ns4:SharedWithUsers" minOccurs="0"/>
                <xsd:element ref="ns4:SharedWithDetails" minOccurs="0"/>
                <xsd:element ref="ns4:SharingHintHash"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3f01c3-7657-47ac-91fe-aaf76832b5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73e9f6-3e56-409e-a7d5-bfed8f1254e7" elementFormDefault="qualified">
    <xsd:import namespace="http://schemas.microsoft.com/office/2006/documentManagement/types"/>
    <xsd:import namespace="http://schemas.microsoft.com/office/infopath/2007/PartnerControls"/>
    <xsd:element name="SharedWithUsers" ma:index="18"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lt med detaljer" ma:internalName="SharedWithDetails" ma:readOnly="true">
      <xsd:simpleType>
        <xsd:restriction base="dms:Note">
          <xsd:maxLength value="255"/>
        </xsd:restriction>
      </xsd:simpleType>
    </xsd:element>
    <xsd:element name="SharingHintHash" ma:index="20" nillable="true" ma:displayName="Hashværdi for deling"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C00AE5-FB42-481F-9239-6A21331ABDBA}">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fb3f01c3-7657-47ac-91fe-aaf76832b51e"/>
    <ds:schemaRef ds:uri="http://purl.org/dc/terms/"/>
    <ds:schemaRef ds:uri="http://schemas.openxmlformats.org/package/2006/metadata/core-properties"/>
    <ds:schemaRef ds:uri="b373e9f6-3e56-409e-a7d5-bfed8f1254e7"/>
    <ds:schemaRef ds:uri="http://www.w3.org/XML/1998/namespace"/>
    <ds:schemaRef ds:uri="http://purl.org/dc/dcmitype/"/>
  </ds:schemaRefs>
</ds:datastoreItem>
</file>

<file path=customXml/itemProps2.xml><?xml version="1.0" encoding="utf-8"?>
<ds:datastoreItem xmlns:ds="http://schemas.openxmlformats.org/officeDocument/2006/customXml" ds:itemID="{8750315B-0A6B-4949-948D-199B208F13DA}">
  <ds:schemaRefs>
    <ds:schemaRef ds:uri="http://schemas.microsoft.com/sharepoint/v3/contenttype/forms"/>
  </ds:schemaRefs>
</ds:datastoreItem>
</file>

<file path=customXml/itemProps3.xml><?xml version="1.0" encoding="utf-8"?>
<ds:datastoreItem xmlns:ds="http://schemas.openxmlformats.org/officeDocument/2006/customXml" ds:itemID="{DEB0CE83-61D6-47BE-B0F1-4DB756310A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3f01c3-7657-47ac-91fe-aaf76832b51e"/>
    <ds:schemaRef ds:uri="b373e9f6-3e56-409e-a7d5-bfed8f1254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Gasoline and electric vehicles</vt:lpstr>
      <vt:lpstr>Life Cycle Costing petrol vs el</vt:lpstr>
      <vt:lpstr>Processes</vt:lpstr>
      <vt:lpstr>Midpoint results</vt:lpstr>
      <vt:lpstr>Input for Students</vt:lpstr>
    </vt:vector>
  </TitlesOfParts>
  <Company>University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 Jolliet</dc:creator>
  <cp:lastModifiedBy>Stig Irving Olsen</cp:lastModifiedBy>
  <dcterms:created xsi:type="dcterms:W3CDTF">2018-03-14T16:19:16Z</dcterms:created>
  <dcterms:modified xsi:type="dcterms:W3CDTF">2025-11-07T10:13:34Z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0x0101001E87AD8AD2D7E04FA9AB4C9431D6D3A2</vt:lpwstr>
  </property>
</Properties>
</file>